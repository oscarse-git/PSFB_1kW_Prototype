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oscar\Desktop\Uni\Master Advanced Power Electronics\Semester 3\PBL-PSFB_1kW\PSFB_PCB\"/>
    </mc:Choice>
  </mc:AlternateContent>
  <xr:revisionPtr revIDLastSave="0" documentId="8_{CF9BFB62-F18A-4051-810B-AD1E6941944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BOM" sheetId="3" r:id="rId1"/>
    <sheet name="PSFB" sheetId="5" r:id="rId2"/>
    <sheet name="Hoja1" sheetId="4" r:id="rId3"/>
  </sheets>
  <definedNames>
    <definedName name="DatosExternos_1" localSheetId="1" hidden="1">PSFB!$A$1:$H$82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G39" i="3"/>
  <c r="G52" i="3"/>
  <c r="G53" i="3"/>
  <c r="G55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3" i="3"/>
  <c r="G32" i="3"/>
  <c r="G34" i="3"/>
  <c r="G35" i="3"/>
  <c r="G36" i="3"/>
  <c r="G37" i="3"/>
  <c r="G38" i="3"/>
  <c r="G40" i="3"/>
  <c r="G41" i="3"/>
  <c r="G42" i="3"/>
  <c r="G43" i="3"/>
  <c r="G44" i="3"/>
  <c r="G45" i="3"/>
  <c r="G46" i="3"/>
  <c r="G47" i="3"/>
  <c r="G48" i="3"/>
  <c r="G49" i="3"/>
  <c r="G50" i="3"/>
  <c r="G51" i="3"/>
  <c r="G54" i="3"/>
  <c r="G56" i="3"/>
  <c r="G57" i="3"/>
  <c r="G58" i="3"/>
  <c r="G59" i="3"/>
  <c r="G60" i="3"/>
  <c r="G61" i="3"/>
  <c r="G62" i="3" l="1"/>
  <c r="G6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A562D-6E14-4717-8650-BD5C883BF3C1}" keepAlive="1" name="Consulta - PSFB" description="Conexión a la consulta 'PSFB' en el libro." type="5" refreshedVersion="8" background="1" saveData="1">
    <dbPr connection="Provider=Microsoft.Mashup.OleDb.1;Data Source=$Workbook$;Location=PSFB;Extended Properties=&quot;&quot;" command="SELECT * FROM [PSFB]"/>
  </connection>
  <connection id="2" xr16:uid="{4D435C9B-3E59-4F7E-A6C2-30307A2C10DB}" keepAlive="1" name="Consulta - PSFB (2)" description="Conexión a la consulta 'PSFB (2)' en el libro." type="5" refreshedVersion="0" background="1">
    <dbPr connection="Provider=Microsoft.Mashup.OleDb.1;Data Source=$Workbook$;Location=&quot;PSFB (2)&quot;;Extended Properties=&quot;&quot;" command="SELECT * FROM [PSFB (2)]"/>
  </connection>
</connections>
</file>

<file path=xl/sharedStrings.xml><?xml version="1.0" encoding="utf-8"?>
<sst xmlns="http://schemas.openxmlformats.org/spreadsheetml/2006/main" count="829" uniqueCount="371">
  <si>
    <t>Value</t>
  </si>
  <si>
    <t>10u</t>
  </si>
  <si>
    <t>2.2u</t>
  </si>
  <si>
    <t>1.7p</t>
  </si>
  <si>
    <t>47n (X7R, 16V)</t>
  </si>
  <si>
    <t>47n (X7R, 50V)</t>
  </si>
  <si>
    <t>100n (X7R)</t>
  </si>
  <si>
    <t>4.7u (X7R)</t>
  </si>
  <si>
    <t>100n</t>
  </si>
  <si>
    <t>S3D10065A</t>
  </si>
  <si>
    <t>STTH1R06</t>
  </si>
  <si>
    <t>LED GREEN</t>
  </si>
  <si>
    <t>LED RED</t>
  </si>
  <si>
    <t>LED AMBAR</t>
  </si>
  <si>
    <t>ESD441DPLR</t>
  </si>
  <si>
    <t>FerriteBead</t>
  </si>
  <si>
    <t>TMCS1133B7AQDVGR</t>
  </si>
  <si>
    <t>HCNR201-300E</t>
  </si>
  <si>
    <t>OPA356AIDBVT</t>
  </si>
  <si>
    <t>LTC3639HMSE#PBF</t>
  </si>
  <si>
    <t>ISOUSB111DWXR</t>
  </si>
  <si>
    <t>Power_Terminal_12V</t>
  </si>
  <si>
    <t>470u</t>
  </si>
  <si>
    <t>R6086YNZ4C13</t>
  </si>
  <si>
    <t>7.23k</t>
  </si>
  <si>
    <t>150</t>
  </si>
  <si>
    <t>30k</t>
  </si>
  <si>
    <t>33k</t>
  </si>
  <si>
    <t>1k</t>
  </si>
  <si>
    <t>10k</t>
  </si>
  <si>
    <t>180k</t>
  </si>
  <si>
    <t>1.3k</t>
  </si>
  <si>
    <t>5.1k</t>
  </si>
  <si>
    <t>SW_MEC_5G</t>
  </si>
  <si>
    <t>STM32G474CBTx</t>
  </si>
  <si>
    <t>MASTERGAN6TR</t>
  </si>
  <si>
    <t>Total Cost</t>
  </si>
  <si>
    <t>URL</t>
  </si>
  <si>
    <t>Component</t>
  </si>
  <si>
    <t>Name</t>
  </si>
  <si>
    <t>QTY</t>
  </si>
  <si>
    <t>Price Unit</t>
  </si>
  <si>
    <t>Need To Buy</t>
  </si>
  <si>
    <t>Capacitor</t>
  </si>
  <si>
    <t>TPS561246DRLR</t>
  </si>
  <si>
    <t>https://www.mouser.dk/en/ProductDetail/Texas-Instruments/TPS561246DRLR?qs=IKkN%2F947nfBlLn983Qr7Pw%3D%3D</t>
  </si>
  <si>
    <t>https://eu.mouser.com/es/ProductDetail/Wurth-Elektronik/74437349022?qs=cFlH0mFHHFpHkKN4ohgwvw%3D%3D</t>
  </si>
  <si>
    <t>Inductor</t>
  </si>
  <si>
    <t>https://eu.mouser.com/en/ProductDetail/Texas-Instruments/OPA2376AQDRQ1?qs=sGAEpiMZZMutXGli8Ay4kJ7zXpaT58Zk%252B%2FBm7rDhytA%3D</t>
  </si>
  <si>
    <t>OPA2376AQDRQ1</t>
  </si>
  <si>
    <t>https://eu.mouser.com/en/ProductDetail/Texas-Instruments/TLV1702AIDGK?qs=sGAEpiMZZMutXGli8Ay4kNuuTrcHMndM%2FcLho8Bn4o0%3D</t>
  </si>
  <si>
    <t>Comparator</t>
  </si>
  <si>
    <t>TLV1702AIDGK</t>
  </si>
  <si>
    <t>270u</t>
  </si>
  <si>
    <t>22u</t>
  </si>
  <si>
    <t>1u 250V</t>
  </si>
  <si>
    <t>47p</t>
  </si>
  <si>
    <t>SN74LVC1G08DBVR</t>
  </si>
  <si>
    <t>2.2uH 12mOhm</t>
  </si>
  <si>
    <t>680</t>
  </si>
  <si>
    <t>100k</t>
  </si>
  <si>
    <t>135k</t>
  </si>
  <si>
    <t>ACPL-M61L-000E</t>
  </si>
  <si>
    <t>https://dk.farnell.com/multicomp-pro/1206b105k500ct/cap-1-f-50v-10-x7r-1206/dp/2497080</t>
  </si>
  <si>
    <t>1206B105K500CT</t>
  </si>
  <si>
    <t>LKDM5102J271MF</t>
  </si>
  <si>
    <t>MAAST32MSB7226MPNA01</t>
  </si>
  <si>
    <t>https://eu.mouser.com/es/ProductDetail/TAIYO-YUDEN/MAAST32MSB7226MPNA01?qs=FmjOKN4Os876lp2kR04m7Q%3D%3D</t>
  </si>
  <si>
    <t>https://eu.mouser.com/es/ProductDetail/Walsin/1812B104K631CT?qs=fIkAfuXiAQJoiEkNCtFvoQ%3D%3D&amp;srsltid=AU7gw4VXMrSxgDSAXapQHQATMdqUGtIsSa5QClkgsLo9NIhjDX7o0oOy</t>
  </si>
  <si>
    <t>1812B104K631CT</t>
  </si>
  <si>
    <t>CL31B106KAHNNNF</t>
  </si>
  <si>
    <t>https://eu.mouser.com/es/ProductDetail/Samsung-Electro-Mechanics/CL31B106KAHNNNF?qs=349EhDEZ59o2FnSjXNhwRQ%3D%3D</t>
  </si>
  <si>
    <t>AC0402KPX7R7BB473</t>
  </si>
  <si>
    <t>https://eu.mouser.com/es/ProductDetail/YAGEO/AC0402KPX7R7BB473?qs=sGAEpiMZZMukHu%252BjC5l7YSnytFWo7atzuaM6MppAOfQ%3D</t>
  </si>
  <si>
    <t>https://eu.mouser.com/es/ProductDetail/TDK/CEU3E2X7R1H473M080AE?qs=xLDY6iXSiQaAymqHkImCEA%3D%3D</t>
  </si>
  <si>
    <t>CEU3E2X7R1H473M080AE</t>
  </si>
  <si>
    <t>Voltage Reg</t>
  </si>
  <si>
    <t>AND gate</t>
  </si>
  <si>
    <t>Optocoupler</t>
  </si>
  <si>
    <t>OpAmp</t>
  </si>
  <si>
    <t>https://eu.mouser.com/es/ProductDetail/Wolfspeed/C3D10065A?qs=D3QG1iK7FqgMAdW1WuL7Qg%3D%3D</t>
  </si>
  <si>
    <t>C3D10065A</t>
  </si>
  <si>
    <t>SiC Diode</t>
  </si>
  <si>
    <t>STTH1R06A</t>
  </si>
  <si>
    <t>Diode</t>
  </si>
  <si>
    <t>https://eu.mouser.com/es/ProductDetail/STMicroelectronics/STTH1R06A?qs=kndcJBrKlnTzl3o%252BhwomPg%3D%3D</t>
  </si>
  <si>
    <t>TVS Diode</t>
  </si>
  <si>
    <t>https://eu.mouser.com/es/ProductDetail/Texas-Instruments/ESD441DPLR?qs=1Kr7Jg1SGW9UQFJqGMkN7Q%3D%3D</t>
  </si>
  <si>
    <t>https://eu.mouser.com/es/ProductDetail/Broadcom-Avago/HCNR201-300E?qs=xnajaXqBF9%2Fpqjck28%2FBeQ%3D%3D</t>
  </si>
  <si>
    <t>Current Sensor</t>
  </si>
  <si>
    <t>https://eu.mouser.com/es/ProductDetail/Texas-Instruments/TMCS1133B7AQDVGR?qs=sGAEpiMZZMs29kr3d%252BndIwCtd%2FVzzV%2F7jOPN5s0cuYQ%3D</t>
  </si>
  <si>
    <t>https://eu.mouser.com/es/ProductDetail/Texas-Instruments/OPA356AIDBVT?qs=7nS3%252BbEUL6sNJlEi0818Dw%3D%3D</t>
  </si>
  <si>
    <t>https://eu.mouser.com/es/ProductDetail/Analog-Devices/LTC3639HMSEPBF?qs=hVkxg5c3xu91%2FQQCRu4j6Q%3D%3D</t>
  </si>
  <si>
    <t>Isolated USB Repeater</t>
  </si>
  <si>
    <t>Pin Header</t>
  </si>
  <si>
    <t>https://eu.mouser.com/es/ProductDetail/Harwin/M20-9994046?qs=sGAEpiMZZMvlX3nhDDO4AAIUUFD6r3d5s80vUO3Nluo%3D</t>
  </si>
  <si>
    <t>M20-9994046</t>
  </si>
  <si>
    <t>All Debug Pins</t>
  </si>
  <si>
    <t>Resistor</t>
  </si>
  <si>
    <t>Transformer Core</t>
  </si>
  <si>
    <t>https://eu.mouser.com/es/ProductDetail/STMicroelectronics/MASTERGAN6TR?qs=4dK74SdgGtwzDTtkoTE%252BnA%3D%3D</t>
  </si>
  <si>
    <t>Mosfets</t>
  </si>
  <si>
    <t>https://eu.mouser.com/es/ProductDetail/STMicroelectronics/STM32G474CBT6?qs=BJlw7L4Cy79CZZusGsWPhQ%3D%3D</t>
  </si>
  <si>
    <t>STM32G474CBT6</t>
  </si>
  <si>
    <t>MCU</t>
  </si>
  <si>
    <t>TPSI3050DWZR</t>
  </si>
  <si>
    <t>Relay Driver</t>
  </si>
  <si>
    <t>https://eu.mouser.com/es/ProductDetail/Texas-Instruments/TPSI3050DWZR?qs=IPgv5n7u5QZU8a0pRpRx4Q%3D%3D</t>
  </si>
  <si>
    <t>https://eu.mouser.com/es/ProductDetail/TE-Connectivity-Alcoswitch/FSM2JSMAATR?qs=g%252BEszo6zu8MKdISiZRITCQ%3D%3D</t>
  </si>
  <si>
    <t>FSM2JSMAATR</t>
  </si>
  <si>
    <t>Push Button</t>
  </si>
  <si>
    <t>https://eu.mouser.com/es/ProductDetail/ROHM-Semiconductor/R6086YNZ4C13?qs=OcgtsXO%252B3gtDlrXNFpjj%2FQ%3D%3D</t>
  </si>
  <si>
    <t>Screw Terminal</t>
  </si>
  <si>
    <t>https://eu.mouser.com/es/ProductDetail/Wurth-Elektronik/150120AS75000?qs=sGAEpiMZZMvVL5Kk7ZYykXREfLAAjjkQpSMZnPP3gTZwCUA92bjzJg%3D%3D</t>
  </si>
  <si>
    <t>LED</t>
  </si>
  <si>
    <t>150120AS75000</t>
  </si>
  <si>
    <t>https://eu.mouser.com/es/ProductDetail/Wurth-Elektronik/150120RS75000?qs=2kOmHSv6VfSstSh2FOQbDw%3D%3D</t>
  </si>
  <si>
    <t>150120RS75000</t>
  </si>
  <si>
    <t>Ferrite Bead</t>
  </si>
  <si>
    <t>https://eu.mouser.com/es/ProductDetail/Murata-Electronics/BLM18PG121SN1D?qs=tY8e8KZalarVxhnmnUYZ1A%3D%3D</t>
  </si>
  <si>
    <t>BLM18PG121SN1D</t>
  </si>
  <si>
    <t>https://eu.mouser.com/es/ProductDetail/Phoenix-Contact/1731734?qs=5W%252BNKB25SvJ2jkw4aA1wOA%3D%3D</t>
  </si>
  <si>
    <t>Power in out</t>
  </si>
  <si>
    <t>https://eu.mouser.com/es/ProductDetail/Texas-Instruments/ISOUSB111DWXR?qs=Y0Uzf4wQF3msEozH7EwD3g%3D%3D</t>
  </si>
  <si>
    <t>https://eu.mouser.com/es/ProductDetail/Wurth-Elektronik/784777471?qs=sBf%2Fb4nBSldQtXk2HMFhEg%3D%3D</t>
  </si>
  <si>
    <t>Potentiometer</t>
  </si>
  <si>
    <t>PVG3A104C01R00</t>
  </si>
  <si>
    <t>https://eu.mouser.com/es/ProductDetail/Bourns/PVG3A104C01R00?qs=v12b4BliScycgWcSTRg0kw%3D%3D</t>
  </si>
  <si>
    <t>https://eu.mouser.com/es/ProductDetail/YAGEO/RT1206FRE07100KL?qs=sGAEpiMZZMtlubZbdhIBILjYW2Gkblj8OjZRMS%252BD6tE%3D</t>
  </si>
  <si>
    <t>RT1206FRE07100KL</t>
  </si>
  <si>
    <t>https://eu.mouser.com/es/ProductDetail/Kamaya/RMC1-16-1002FTP?qs=sGAEpiMZZMtlubZbdhIBINZyO39%252BOXIfdOTMcTKSOKQ%3D</t>
  </si>
  <si>
    <t>RMC1/16-1002FTP</t>
  </si>
  <si>
    <t>https://eu.mouser.com/es/ProductDetail/Vishay-Semiconductors/VLMTG1400-GS08?qs=sGAEpiMZZMsl8UZd3ZuU6aAY3C3HMTrK5kQO%252Ba%252B7lY7WCtQ7rJfP6A%3D%3D</t>
  </si>
  <si>
    <t>1u</t>
  </si>
  <si>
    <t>2.2</t>
  </si>
  <si>
    <t>270</t>
  </si>
  <si>
    <t>1.8k</t>
  </si>
  <si>
    <t>C1608X7S1C225K080AE</t>
  </si>
  <si>
    <t>https://eu.mouser.com/es/ProductDetail/TDK/C1608X7S1C225K080AE?qs=sGAEpiMZZMsh%252B1woXyUXj4o8uGOj6yOa%2F2JNARaH%252BUU%3D</t>
  </si>
  <si>
    <t>https://eu.mouser.com/es/ProductDetail/TAIYO-YUDEN/MAJCU168BB7104KTEA01?qs=ZcfC38r4PovJ4zMRJqa98Q%3D%3D</t>
  </si>
  <si>
    <t>MAJCU168BB7104KTEA01</t>
  </si>
  <si>
    <t>https://eu.mouser.com/es/ProductDetail/KYOCERA-AVX/KAM31GR71H475KL?qs=Jm2GQyTW%2FbjSbY1tCxiE1g%3D%3D</t>
  </si>
  <si>
    <t>KAM31GR71H475KL</t>
  </si>
  <si>
    <t>https://eu.mouser.com/es/ProductDetail/Murata-Electronics/GRM1885C1H1R7WA01D?qs=4W3PNmGdEWGVzU8VIzw%252BzQ%3D%3D</t>
  </si>
  <si>
    <t>GRM1885C1H1R7WA01D</t>
  </si>
  <si>
    <t>https://eu.mouser.com/es/ProductDetail/KYOCERA-AVX/06035C470JAT2A?qs=ZBeOGGPQgEHmipGwrPVCwg%3D%3D</t>
  </si>
  <si>
    <t>06035C470JAT2A</t>
  </si>
  <si>
    <t>https://eu.mouser.com/es/ProductDetail/Panasonic-Industry/ECA-2EHG010B?qs=sGAEpiMZZMvwFf0viD3Y3ffldXPLozayGOv6dn7%2Fqvo%3D</t>
  </si>
  <si>
    <t>ECA-2EHG010B</t>
  </si>
  <si>
    <t>3.3</t>
  </si>
  <si>
    <t>https://eu.mouser.com/es/ProductDetail/Panasonic-Industry/ERJ-UP6F3R30V?qs=sGAEpiMZZMtlubZbdhIBINpG8MrgDEP9jKTCNTiftCA%3D</t>
  </si>
  <si>
    <t>ERJ-UP6F3R30V</t>
  </si>
  <si>
    <t>https://eu.mouser.com/es/ProductDetail/Panasonic-Industry/ERJ-PC3B6800V?qs=G4MbTVxgV4Elo1Xzy%252BH5Rw%3D%3D</t>
  </si>
  <si>
    <t>ERJ-PC3B6800V</t>
  </si>
  <si>
    <t>https://eu.mouser.com/es/ProductDetail/Panasonic-Industry/ERJ-UP3F2R20V?qs=y9%2FpVxnqej8wd3GPnjpGVA%3D%3D</t>
  </si>
  <si>
    <t>ERJ-UP3F2R20V</t>
  </si>
  <si>
    <t>https://eu.mouser.com/es/ProductDetail/KOA-Speer/RN73R2ATTD3002B25?qs=2WXlatMagcHCGZgT8P9O6w%3D%3D</t>
  </si>
  <si>
    <t>RN73R2ATTD3002B25</t>
  </si>
  <si>
    <t>https://eu.mouser.com/es/ProductDetail/YAGEO/RC0805JR-07150RL?qs=KyGMWp10Ukuj2ys2qNRVFA%3D%3D</t>
  </si>
  <si>
    <t>RC0805JR-07150RL</t>
  </si>
  <si>
    <t>https://eu.mouser.com/es/ProductDetail/Vishay/CRCW06031K00FKEI?qs=sGAEpiMZZMvdGkrng054twKDKoBh%252BscnNfQWRY4iKFHEBxivVbuYZA%3D%3D</t>
  </si>
  <si>
    <t>CRCW06031K00FKEI</t>
  </si>
  <si>
    <t>https://eu.mouser.com/es/ProductDetail/Kamaya/RMC16K303FTP?qs=sGAEpiMZZMvdGkrng054twKDKoBh%252BscnhHO3wSYrymP1Os10D71Qzw%3D%3D</t>
  </si>
  <si>
    <t>RMC16K303FTP</t>
  </si>
  <si>
    <t>https://eu.mouser.com/es/ProductDetail/Bourns/CR0603-JW-151ELF?qs=sGAEpiMZZMvdGkrng054t4ii5gp1RiAaotiYk6f31Mw%3D</t>
  </si>
  <si>
    <t>CR0603-JW-151ELF</t>
  </si>
  <si>
    <t>https://eu.mouser.com/es/ProductDetail/Bourns/CR0603-JW-271ELF?qs=sGAEpiMZZMvdGkrng054t%2Fh5BnJxeWSzdTNqPQsIhUI%3D</t>
  </si>
  <si>
    <t>CR0603-JW-271ELF</t>
  </si>
  <si>
    <t>https://eu.mouser.com/es/ProductDetail/Broadcom-Avago/ACPL-M61L-000E?qs=YFzrHcMGcrvOVUT9y59Zbw%3D%3D</t>
  </si>
  <si>
    <t>https://eu.mouser.com/es/ProductDetail/Texas-Instruments/SN74LVC1G08DBVR?qs=8yeEWhuAOtNjtL049wSCoQ%3D%3D</t>
  </si>
  <si>
    <t>https://eu.mouser.com/es/ProductDetail/Bourns/CR0603-JW-182ELF?qs=sGAEpiMZZMvdGkrng054t%2Fh5BnJxeWSzj0mvfYNlOzk%3D</t>
  </si>
  <si>
    <t>CR0603-JW-182ELF</t>
  </si>
  <si>
    <t>https://eu.mouser.com/es/ProductDetail/YAGEO/RC0603FR-1333KL?qs=sGAEpiMZZMvdGkrng054tx7%2F6%252BNA3LAJ5%252BNpSlt4L3E%3D</t>
  </si>
  <si>
    <t>RC0603FR-1333KL</t>
  </si>
  <si>
    <t>https://eu.mouser.com/es/ProductDetail/Wurth-Elektronik/560112116065?qs=sGAEpiMZZMvdGkrng054txLI%2FDB4oIKDvhwkLWouSygq9fjGKXIzUA%3D%3D</t>
  </si>
  <si>
    <t>https://eu.mouser.com/es/ProductDetail/Wurth-Elektronik/560112116072?qs=sGAEpiMZZMvdGkrng054txLI%2FDB4oIKDqFkTTVUTH6xvekGULBHFiQ%3D%3D</t>
  </si>
  <si>
    <t>RMC1/16K1353FTP</t>
  </si>
  <si>
    <t>https://eu.mouser.com/es/ProductDetail/Kamaya/RMC1-16K1353FTP?qs=GedFDFLaBXH%2FiaXqy0n1Hw%3D%3D</t>
  </si>
  <si>
    <t>RE0603FRE075K1L</t>
  </si>
  <si>
    <t>https://eu.mouser.com/es/ProductDetail/YAGEO/RE0603FRE075K1L?qs=sGAEpiMZZMvdGkrng054t7hACl%252BKjm7M%252BR5L%252BSWtrZsTrt2h1FtOqA%3D%3D</t>
  </si>
  <si>
    <t>https://eu.mouser.com/es/ProductDetail/Walsin/MR06X7321FTL?qs=sGAEpiMZZMvdGkrng054twq3eZrCFN896BXXhX8qjd8sPdLP0zG3Bg%3D%3D</t>
  </si>
  <si>
    <t>MR06X7321FTL</t>
  </si>
  <si>
    <t>1546551-2</t>
  </si>
  <si>
    <t>https://eu.mouser.com/es/ProductDetail/TE-Connectivity/1546551-2?qs=m%2FhmcwQ75LmjcSTRMY1QVQ%3D%3D</t>
  </si>
  <si>
    <t>Reference</t>
  </si>
  <si>
    <t>Qty</t>
  </si>
  <si>
    <t>DNP</t>
  </si>
  <si>
    <t>Exclude from BOM</t>
  </si>
  <si>
    <t>Exclude from Board</t>
  </si>
  <si>
    <t>Footprint</t>
  </si>
  <si>
    <t>Datasheet</t>
  </si>
  <si>
    <t>C1,C2,C3,C4,C5,C15,C16,C17,C24,C26,C44,C48</t>
  </si>
  <si>
    <t/>
  </si>
  <si>
    <t>Capacitor_SMD:C_1206_3216Metric</t>
  </si>
  <si>
    <t>~</t>
  </si>
  <si>
    <t>C6,C13,C19</t>
  </si>
  <si>
    <t>C10,C11,C12,C14,C28,C49,C54,C55</t>
  </si>
  <si>
    <t>Capacitor_THT:CP_Radial_D25.0mm_P10.00mm_SnapIn</t>
  </si>
  <si>
    <t>C18,C42</t>
  </si>
  <si>
    <t>Capacitor_SMD:C_0603_1608Metric_Pad1.08x0.95mm_HandSolder</t>
  </si>
  <si>
    <t>C20,C25,C27,C43,C45,C46,C47,C50,C53</t>
  </si>
  <si>
    <t>Capacitor_SMD:C_1812_4532Metric</t>
  </si>
  <si>
    <t>C21,C22</t>
  </si>
  <si>
    <t>C23,C51</t>
  </si>
  <si>
    <t>C29</t>
  </si>
  <si>
    <t>C</t>
  </si>
  <si>
    <t>C30,C33,C38,C39</t>
  </si>
  <si>
    <t>Capacitor_SMD:C_0402_1005Metric</t>
  </si>
  <si>
    <t>C31</t>
  </si>
  <si>
    <t>Capacitor_THT:CP_Radial_Tantal_D7.0mm_P5.00mm</t>
  </si>
  <si>
    <t>C32</t>
  </si>
  <si>
    <t>Capacitor_SMD:C_1206_3216Metric_Pad1.33x1.80mm_HandSolder</t>
  </si>
  <si>
    <t>C34,C37</t>
  </si>
  <si>
    <t>Capacitor_SMD:C_0603_1608Metric</t>
  </si>
  <si>
    <t>C35,C41</t>
  </si>
  <si>
    <t>C36,C40</t>
  </si>
  <si>
    <t>C52</t>
  </si>
  <si>
    <t>D1,D2,D3,D4</t>
  </si>
  <si>
    <t>Package_TO_SOT_THT:TO-220-2_Vertical</t>
  </si>
  <si>
    <t>https://www.wolfspeed.com/media/downloads/73/C3D10065A.pdf</t>
  </si>
  <si>
    <t>D5,D6</t>
  </si>
  <si>
    <t>oscar:DIOM5126X265N</t>
  </si>
  <si>
    <t>https://www.diodes.com/assets/Datasheets/ds30396.pdf</t>
  </si>
  <si>
    <t>D7,D8,D9,D14,D15</t>
  </si>
  <si>
    <t>LED_SMD:LED_0603_1608Metric</t>
  </si>
  <si>
    <t>D10</t>
  </si>
  <si>
    <t>D11</t>
  </si>
  <si>
    <t>D12,D13</t>
  </si>
  <si>
    <t>oscar:ESD441DPLR</t>
  </si>
  <si>
    <t>https://www.onsemi.com/pdf/datasheet/esd5z2.5t1-d.pdf</t>
  </si>
  <si>
    <t>FB1</t>
  </si>
  <si>
    <t>Resistor_SMD:R_0201_0603Metric</t>
  </si>
  <si>
    <t>IC1,IC9</t>
  </si>
  <si>
    <t>oscar:TMCS1133B7AQDVGR</t>
  </si>
  <si>
    <t>https://www.ti.com/product/TMCS1133#design-development</t>
  </si>
  <si>
    <t>IC2</t>
  </si>
  <si>
    <t>oscar:HCNR201300E</t>
  </si>
  <si>
    <t>https://datasheet.datasheetarchive.com/originals/distributors/Datasheets-6/DSA-115859.pdf</t>
  </si>
  <si>
    <t>IC3,IC4</t>
  </si>
  <si>
    <t>oscar:SOT95P280X145-5N</t>
  </si>
  <si>
    <t>http://www.ti.com/lit/gpn/opa356</t>
  </si>
  <si>
    <t>IC5</t>
  </si>
  <si>
    <t>http://www.ti.com/lit/ds/symlink/sn74lvc1g08.pdf</t>
  </si>
  <si>
    <t>IC6</t>
  </si>
  <si>
    <t>oscar:SOP65P490X110-8N</t>
  </si>
  <si>
    <t>http://www.ti.com/lit/ds/symlink/tlv1702.pdf</t>
  </si>
  <si>
    <t>IC7</t>
  </si>
  <si>
    <t>SOIC127P600X175-8N</t>
  </si>
  <si>
    <t>http://www.ti.com/lit/gpn/opa2376-q1</t>
  </si>
  <si>
    <t>IC8</t>
  </si>
  <si>
    <t>oscar:LTC3639HMSEPBF</t>
  </si>
  <si>
    <t>https://www.analog.com/media/en/technical-documentation/data-sheets/3639fd.pdf</t>
  </si>
  <si>
    <t>IC10</t>
  </si>
  <si>
    <t>oscar:SOP65P1030X260-16N</t>
  </si>
  <si>
    <t>https://www.ti.com/lit/ds/symlink/isousb111.pdf?ts=1669697942868&amp;ref_url=https%253A%252F%252Fwww.ti.com%252Fproduct%252FISOUSB111%253FkeyMatch%253DISOUSB111DWXR%2526tisearch%253Dsearch-everything%2526usecase%253DOPN</t>
  </si>
  <si>
    <t>IC11</t>
  </si>
  <si>
    <t>oscar:SOTFL50P160X60-6N</t>
  </si>
  <si>
    <t>https://www.ti.com/lit/ds/symlink/tps561246.pdf?ts=1736141056725&amp;ref_url=https%253A%252F%252Fwww.ti.com%252Fproduct%252FTPS561246%252Fpart-details%252FTPS561246DRLR</t>
  </si>
  <si>
    <t>IC12</t>
  </si>
  <si>
    <t>oscar:SOIC127P1150X280-8N</t>
  </si>
  <si>
    <t>https://www.ti.com/lit/ds/symlink/tpsi3050.pdf?ts=1725435583662&amp;ref_url=https%253A%252F%252Fwww.ti.com%252Fproduct%252FTPSI3050</t>
  </si>
  <si>
    <t>J2</t>
  </si>
  <si>
    <t>GND_S</t>
  </si>
  <si>
    <t>Connector_PinHeader_2.54mm:PinHeader_1x01_P2.54mm_Vertical</t>
  </si>
  <si>
    <t>J3</t>
  </si>
  <si>
    <t>JUMPER_BOOT</t>
  </si>
  <si>
    <t>Connector_PinHeader_2.54mm:PinHeader_1x02_P2.54mm_Vertical</t>
  </si>
  <si>
    <t>J4</t>
  </si>
  <si>
    <t>3.3_PIN_IN_DEBUG</t>
  </si>
  <si>
    <t>J5</t>
  </si>
  <si>
    <t>STLINK_PIN</t>
  </si>
  <si>
    <t>Connector_PinHeader_2.54mm:PinHeader_1x05_P2.54mm_Vertical</t>
  </si>
  <si>
    <t>J6</t>
  </si>
  <si>
    <t>USB_C</t>
  </si>
  <si>
    <t>oscar:UJ20CHGMSMT4BP16TR</t>
  </si>
  <si>
    <t>https://www.sameskydevices.com/product/resource/uj20-c-h-g-msmt-4b-p16-tr.pdf</t>
  </si>
  <si>
    <t>J7</t>
  </si>
  <si>
    <t>oscar:15465512</t>
  </si>
  <si>
    <t>J8</t>
  </si>
  <si>
    <t>12V_Jumper_for_3.3V</t>
  </si>
  <si>
    <t>J9</t>
  </si>
  <si>
    <t>I_IN_SENSE</t>
  </si>
  <si>
    <t>J10</t>
  </si>
  <si>
    <t>V_IN_SENSE</t>
  </si>
  <si>
    <t>J11</t>
  </si>
  <si>
    <t>I_OUT_SENSE</t>
  </si>
  <si>
    <t>J12</t>
  </si>
  <si>
    <t>V_OUT_SENSE</t>
  </si>
  <si>
    <t>J13</t>
  </si>
  <si>
    <t>V_BAT_SENSE</t>
  </si>
  <si>
    <t>J14</t>
  </si>
  <si>
    <t>GND_SENSE</t>
  </si>
  <si>
    <t>J15</t>
  </si>
  <si>
    <t>CTRL_AH</t>
  </si>
  <si>
    <t>J16</t>
  </si>
  <si>
    <t>CTRL_AL</t>
  </si>
  <si>
    <t>J17</t>
  </si>
  <si>
    <t>CTRL_BL</t>
  </si>
  <si>
    <t>J18</t>
  </si>
  <si>
    <t>CTRL_BH</t>
  </si>
  <si>
    <t>J19</t>
  </si>
  <si>
    <t>HVDC_POWER_IN</t>
  </si>
  <si>
    <t>oscar:1731734</t>
  </si>
  <si>
    <t>J20</t>
  </si>
  <si>
    <t>5VCC_S</t>
  </si>
  <si>
    <t>J21</t>
  </si>
  <si>
    <t>Vref_S</t>
  </si>
  <si>
    <t>J22</t>
  </si>
  <si>
    <t>VDC_S_SENSE_S</t>
  </si>
  <si>
    <t>J23</t>
  </si>
  <si>
    <t>VOUT_CHARGER</t>
  </si>
  <si>
    <t>L1</t>
  </si>
  <si>
    <t>oscar:784777471</t>
  </si>
  <si>
    <t>L2</t>
  </si>
  <si>
    <t>oscar:WE-LHMI_7030_705048</t>
  </si>
  <si>
    <t>Q1,Q2</t>
  </si>
  <si>
    <t>Package_TO_SOT_THT:TO-247-3_Vertical</t>
  </si>
  <si>
    <t>https://ngspice.sourceforge.io/docs/ngspice-html-manual/manual.xhtml#cha_MOSFETs</t>
  </si>
  <si>
    <t>R1</t>
  </si>
  <si>
    <t>Resistor_SMD:R_0603_1608Metric_Pad0.98x0.95mm_HandSolder</t>
  </si>
  <si>
    <t>R2</t>
  </si>
  <si>
    <t>Resistor_SMD:R_0805_2012Metric_Pad1.20x1.40mm_HandSolder</t>
  </si>
  <si>
    <t>R3,R4</t>
  </si>
  <si>
    <t>R5</t>
  </si>
  <si>
    <t>R6,R7,R10,R13</t>
  </si>
  <si>
    <t>R8</t>
  </si>
  <si>
    <t>R9,R11,R41</t>
  </si>
  <si>
    <t>R12</t>
  </si>
  <si>
    <t>R14,R21</t>
  </si>
  <si>
    <t>R15,R16,R17,R18,R19,R20,R24,R25,R39,R44,R45,R46,R47,R48,R49,R50,R51,R52,R53,R54,R55,R56,R57,R58,R59</t>
  </si>
  <si>
    <t>R22</t>
  </si>
  <si>
    <t>R23</t>
  </si>
  <si>
    <t>R26,R27,R28,R43</t>
  </si>
  <si>
    <t>R29,R30</t>
  </si>
  <si>
    <t>R31,R32</t>
  </si>
  <si>
    <t>R33,R34,R35,R36,R37,R38</t>
  </si>
  <si>
    <t>Resistor_SMD:R_1206_3216Metric_Pad1.30x1.75mm_HandSolder</t>
  </si>
  <si>
    <t>R40</t>
  </si>
  <si>
    <t>R42</t>
  </si>
  <si>
    <t>RV1</t>
  </si>
  <si>
    <t>oscar:PVG3A104C01R00</t>
  </si>
  <si>
    <t>S1</t>
  </si>
  <si>
    <t>oscar:FSM2J_1</t>
  </si>
  <si>
    <t>https://www.te.com/commerce/DocumentDelivery/DDEController?Action=srchrtrv&amp;DocNm=1654270-2&amp;DocType=Catalog%20Section&amp;DocLang=English&amp;PartCntxt=2-1437565-9&amp;DocFormat=pdf</t>
  </si>
  <si>
    <t>TR1</t>
  </si>
  <si>
    <t>Our Transformer</t>
  </si>
  <si>
    <t>Transformer_THT:Transformer_Breve_TEZ-28x33</t>
  </si>
  <si>
    <t>http://www.breve.pl/pdf/ANG/TEZ_ang.pdf</t>
  </si>
  <si>
    <t>U1</t>
  </si>
  <si>
    <t>Package_QFP:LQFP-48_7x7mm_P0.5mm</t>
  </si>
  <si>
    <t>https://www.st.com/resource/en/datasheet/stm32g474cb.pdf</t>
  </si>
  <si>
    <t>U2,U4</t>
  </si>
  <si>
    <t>oscar:QFN35_9X9_STM-M</t>
  </si>
  <si>
    <t>https://www.st.com/resource/en/datasheet/mastergan6.pdf</t>
  </si>
  <si>
    <t>U5</t>
  </si>
  <si>
    <t>oscar:SO-5_AVA-L</t>
  </si>
  <si>
    <t>VLMTG1400-GS08</t>
  </si>
  <si>
    <t>https://www.mouser.com/es/ProductDetail/Texas-Instruments/SN6507DGQR?qs=vvQtp7zwQdOlI8FFS82ezA%3D%3D</t>
  </si>
  <si>
    <t>TR driver</t>
  </si>
  <si>
    <t>SN6507DGQR</t>
  </si>
  <si>
    <t>https://www.mouser.com/es/ProductDetail/Wurth-Elektronik/750319690?qs=1Kr7Jg1SGW%2Fxuc9sXU4Xvg%3D%3D&amp;srsltid=AYCX9vIjsCZXOrkwCYQG4PVoaY5CZxWgFpIq-D_pwzsenrNXj8U-oYmL</t>
  </si>
  <si>
    <t>shocktty</t>
  </si>
  <si>
    <t>https://www.mouser.com/es/ProductDetail/Infineon-Technologies/BAT165E6327HTSA1?qs=K00xGehIljtOiGvGDAvWFg%3D%3D</t>
  </si>
  <si>
    <t>BAT165E6327HTSA1</t>
  </si>
  <si>
    <t>Buck Converter</t>
  </si>
  <si>
    <t>OPAMP</t>
  </si>
  <si>
    <t>https://www.mouser.com/es/ProductDetail/Texas-Instruments/OPA365AIDBVTG4?qs=pJP364FAHqQWllaZFOaiyA%3D%3D</t>
  </si>
  <si>
    <t>OPA365AIDBVTG4</t>
  </si>
  <si>
    <t xml:space="preserve">Vreg </t>
  </si>
  <si>
    <t>https://eu.mouser.com/es/ProductDetail/Texas-Instruments/UA78M05CDCYG3?qs=sGAEpiMZZMt1hubY80%2Fs8OcNsarZX%2FIPKfA%2FErbldFA%3D</t>
  </si>
  <si>
    <t>UA78M05CDCYG3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</si>
</sst>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DKK]_-;\-* #,##0.00\ [$DKK]_-;_-* &quot;-&quot;??\ [$DKK]_-;_-@_-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44" fontId="0" fillId="0" borderId="0" xfId="2" applyFont="1"/>
    <xf numFmtId="8" fontId="0" fillId="0" borderId="0" xfId="2" applyNumberFormat="1" applyFont="1"/>
    <xf numFmtId="0" fontId="0" fillId="0" borderId="0" xfId="0" applyAlignment="1">
      <alignment horizontal="left"/>
    </xf>
    <xf numFmtId="164" fontId="0" fillId="0" borderId="0" xfId="2" applyNumberFormat="1" applyFont="1"/>
    <xf numFmtId="44" fontId="0" fillId="0" borderId="0" xfId="0" applyNumberFormat="1"/>
    <xf numFmtId="44" fontId="2" fillId="0" borderId="0" xfId="2" applyFont="1"/>
    <xf numFmtId="1" fontId="0" fillId="0" borderId="0" xfId="0" applyNumberFormat="1" applyAlignment="1">
      <alignment horizontal="left"/>
    </xf>
  </cellXfs>
  <cellStyles count="3">
    <cellStyle name="Hipervínculo" xfId="1" builtinId="8"/>
    <cellStyle name="Moneda" xfId="2" builtinId="4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95C5EAD-E961-48A2-8BA6-20A9429B68C2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68511A-7AAB-4349-A6C7-5F2775AD05FA}" name="Tabla1" displayName="Tabla1" ref="A1:H62" totalsRowCount="1">
  <autoFilter ref="A1:H61" xr:uid="{6F68511A-7AAB-4349-A6C7-5F2775AD05FA}"/>
  <tableColumns count="8">
    <tableColumn id="1" xr3:uid="{40AC34E2-CA36-4DBB-A0F7-07FF94077907}" name="Component"/>
    <tableColumn id="2" xr3:uid="{19EA60B9-9F6E-46DD-88EA-75E5F99AE78F}" name="Name" dataDxfId="12" totalsRowDxfId="11"/>
    <tableColumn id="3" xr3:uid="{CC2E9E88-723D-41A5-B80E-14A4BFFC9804}" name="Value" dataDxfId="10"/>
    <tableColumn id="4" xr3:uid="{60B669A4-2543-47C3-96B7-3CC8B6F8500D}" name="QTY"/>
    <tableColumn id="5" xr3:uid="{3A8B1DE4-64E1-490C-834F-70A8C831DAA9}" name="Price Unit" totalsRowDxfId="9" dataCellStyle="Moneda"/>
    <tableColumn id="6" xr3:uid="{B5A87A69-7306-496E-A11C-CB2F8D6EA0E5}" name="Need To Buy"/>
    <tableColumn id="7" xr3:uid="{73D8D8D8-8FE4-422E-ACBE-42EF765853B8}" name="Total Cost" totalsRowFunction="custom" dataDxfId="8" totalsRowDxfId="7" dataCellStyle="Moneda">
      <calculatedColumnFormula>Tabla1[[#This Row],[QTY]]*Tabla1[[#This Row],[Price Unit]]</calculatedColumnFormula>
      <totalsRowFormula>SUM(Tabla1[Total Cost])</totalsRowFormula>
    </tableColumn>
    <tableColumn id="8" xr3:uid="{E2F79A3F-F8CA-4D01-AA61-31E59F7F7C7C}" name="UR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FA415-82CE-4C29-8956-4549F84123F4}" name="PSFB" displayName="PSFB" ref="A1:H82" tableType="queryTable" totalsRowShown="0">
  <autoFilter ref="A1:H82" xr:uid="{1C7FA415-82CE-4C29-8956-4549F84123F4}"/>
  <tableColumns count="8">
    <tableColumn id="1" xr3:uid="{6F2484F1-B824-4DAB-9970-134CD376824A}" uniqueName="1" name="Reference" queryTableFieldId="1" dataDxfId="6"/>
    <tableColumn id="2" xr3:uid="{7C8C9C9B-1C8E-4416-BD1F-1FA40AFF27B6}" uniqueName="2" name="Qty" queryTableFieldId="2"/>
    <tableColumn id="3" xr3:uid="{DF0BA716-B41E-4B5C-88EB-6D19113D2889}" uniqueName="3" name="Value" queryTableFieldId="3" dataDxfId="5"/>
    <tableColumn id="4" xr3:uid="{F05DB28A-BF05-43D3-9765-D1FBBB156F91}" uniqueName="4" name="DNP" queryTableFieldId="4" dataDxfId="4"/>
    <tableColumn id="5" xr3:uid="{8FED02FC-103A-4056-A196-3B788F86B32C}" uniqueName="5" name="Exclude from BOM" queryTableFieldId="5" dataDxfId="3"/>
    <tableColumn id="6" xr3:uid="{EEE45BB8-31D5-4D80-A264-CF9AFA0F75E2}" uniqueName="6" name="Exclude from Board" queryTableFieldId="6" dataDxfId="2"/>
    <tableColumn id="7" xr3:uid="{CB709F6A-1C7B-45DF-8C6A-2E4C1C3F27A5}" uniqueName="7" name="Footprint" queryTableFieldId="7" dataDxfId="1"/>
    <tableColumn id="8" xr3:uid="{DD358385-CF2B-4BB9-A637-D39B92E620DC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mouser.com/es/ProductDetail/Wurth-Elektronik/150120AS75000?qs=sGAEpiMZZMvVL5Kk7ZYykXREfLAAjjkQpSMZnPP3gTZwCUA92bjzJg%3D%3D" TargetMode="External"/><Relationship Id="rId13" Type="http://schemas.openxmlformats.org/officeDocument/2006/relationships/hyperlink" Target="https://eu.mouser.com/es/ProductDetail/YAGEO/AC0402KPX7R7BB473?qs=sGAEpiMZZMukHu%252BjC5l7YSnytFWo7atzuaM6MppAOfQ%3D" TargetMode="External"/><Relationship Id="rId18" Type="http://schemas.openxmlformats.org/officeDocument/2006/relationships/hyperlink" Target="https://eu.mouser.com/es/ProductDetail/YAGEO/RT1206FRE07100KL?qs=sGAEpiMZZMtlubZbdhIBILjYW2Gkblj8OjZRMS%252BD6tE%3D" TargetMode="External"/><Relationship Id="rId26" Type="http://schemas.openxmlformats.org/officeDocument/2006/relationships/hyperlink" Target="https://eu.mouser.com/es/ProductDetail/Murata-Electronics/BLM18PG121SN1D?qs=tY8e8KZalarVxhnmnUYZ1A%3D%3D" TargetMode="External"/><Relationship Id="rId3" Type="http://schemas.openxmlformats.org/officeDocument/2006/relationships/hyperlink" Target="https://eu.mouser.com/es/ProductDetail/Wurth-Elektronik/74437349022?qs=cFlH0mFHHFpHkKN4ohgwvw%3D%3D" TargetMode="External"/><Relationship Id="rId21" Type="http://schemas.openxmlformats.org/officeDocument/2006/relationships/hyperlink" Target="https://eu.mouser.com/es/ProductDetail/ROHM-Semiconductor/R6086YNZ4C13?qs=OcgtsXO%252B3gtDlrXNFpjj%2FQ%3D%3D" TargetMode="External"/><Relationship Id="rId7" Type="http://schemas.openxmlformats.org/officeDocument/2006/relationships/hyperlink" Target="https://eu.mouser.com/es/ProductDetail/Walsin/1812B104K631CT?qs=fIkAfuXiAQJoiEkNCtFvoQ%3D%3D&amp;srsltid=AU7gw4VXMrSxgDSAXapQHQATMdqUGtIsSa5QClkgsLo9NIhjDX7o0oOy" TargetMode="External"/><Relationship Id="rId12" Type="http://schemas.openxmlformats.org/officeDocument/2006/relationships/hyperlink" Target="https://eu.mouser.com/es/ProductDetail/TDK/CEU3E2X7R1H473M080AE?qs=xLDY6iXSiQaAymqHkImCEA%3D%3D" TargetMode="External"/><Relationship Id="rId17" Type="http://schemas.openxmlformats.org/officeDocument/2006/relationships/hyperlink" Target="https://eu.mouser.com/es/ProductDetail/Kamaya/RMC1-16-1002FTP?qs=sGAEpiMZZMtlubZbdhIBINZyO39%252BOXIfdOTMcTKSOKQ%3D" TargetMode="External"/><Relationship Id="rId25" Type="http://schemas.openxmlformats.org/officeDocument/2006/relationships/hyperlink" Target="https://eu.mouser.com/es/ProductDetail/STMicroelectronics/STTH1R06A?qs=kndcJBrKlnTzl3o%252BhwomPg%3D%3D" TargetMode="External"/><Relationship Id="rId2" Type="http://schemas.openxmlformats.org/officeDocument/2006/relationships/hyperlink" Target="https://www.mouser.dk/en/ProductDetail/Texas-Instruments/TPS561246DRLR?qs=IKkN%2F947nfBlLn983Qr7Pw%3D%3D" TargetMode="External"/><Relationship Id="rId16" Type="http://schemas.openxmlformats.org/officeDocument/2006/relationships/hyperlink" Target="https://eu.mouser.com/es/ProductDetail/Samsung-Electro-Mechanics/CL31B106KAHNNNF?qs=349EhDEZ59o2FnSjXNhwRQ%3D%3D" TargetMode="External"/><Relationship Id="rId20" Type="http://schemas.openxmlformats.org/officeDocument/2006/relationships/hyperlink" Target="https://eu.mouser.com/es/ProductDetail/Bourns/CR0603-JW-151ELF?qs=sGAEpiMZZMvdGkrng054t4ii5gp1RiAaotiYk6f31Mw%3D" TargetMode="External"/><Relationship Id="rId29" Type="http://schemas.openxmlformats.org/officeDocument/2006/relationships/hyperlink" Target="https://eu.mouser.com/es/ProductDetail/Texas-Instruments/TMCS1133B7AQDVGR?qs=sGAEpiMZZMs29kr3d%252BndIwCtd%2FVzzV%2F7jOPN5s0cuYQ%3D" TargetMode="External"/><Relationship Id="rId1" Type="http://schemas.openxmlformats.org/officeDocument/2006/relationships/hyperlink" Target="https://eu.mouser.com/es/ProductDetail/TAIYO-YUDEN/MAAST32MSB7226MPNA01?qs=FmjOKN4Os876lp2kR04m7Q%3D%3D" TargetMode="External"/><Relationship Id="rId6" Type="http://schemas.openxmlformats.org/officeDocument/2006/relationships/hyperlink" Target="https://eu.mouser.com/es/ProductDetail/Analog-Devices/LTC3639HMSEPBF?qs=hVkxg5c3xu91%2FQQCRu4j6Q%3D%3D" TargetMode="External"/><Relationship Id="rId11" Type="http://schemas.openxmlformats.org/officeDocument/2006/relationships/hyperlink" Target="https://eu.mouser.com/es/ProductDetail/TDK/C1608X7S1C225K080AE?qs=sGAEpiMZZMsh%252B1woXyUXj4o8uGOj6yOa%2F2JNARaH%252BUU%3D" TargetMode="External"/><Relationship Id="rId24" Type="http://schemas.openxmlformats.org/officeDocument/2006/relationships/hyperlink" Target="https://eu.mouser.com/es/ProductDetail/KYOCERA-AVX/06035C470JAT2A?qs=ZBeOGGPQgEHmipGwrPVCwg%3D%3D" TargetMode="External"/><Relationship Id="rId5" Type="http://schemas.openxmlformats.org/officeDocument/2006/relationships/hyperlink" Target="https://eu.mouser.com/en/ProductDetail/Texas-Instruments/TLV1702AIDGK?qs=sGAEpiMZZMutXGli8Ay4kNuuTrcHMndM%2FcLho8Bn4o0%3D" TargetMode="External"/><Relationship Id="rId15" Type="http://schemas.openxmlformats.org/officeDocument/2006/relationships/hyperlink" Target="https://eu.mouser.com/es/ProductDetail/TAIYO-YUDEN/MAJCU168BB7104KTEA01?qs=ZcfC38r4PovJ4zMRJqa98Q%3D%3D" TargetMode="External"/><Relationship Id="rId23" Type="http://schemas.openxmlformats.org/officeDocument/2006/relationships/hyperlink" Target="https://eu.mouser.com/es/ProductDetail/Phoenix-Contact/1731734?qs=5W%252BNKB25SvJ2jkw4aA1wOA%3D%3D" TargetMode="External"/><Relationship Id="rId28" Type="http://schemas.openxmlformats.org/officeDocument/2006/relationships/hyperlink" Target="https://eu.mouser.com/es/ProductDetail/Texas-Instruments/ESD441DPLR?qs=1Kr7Jg1SGW9UQFJqGMkN7Q%3D%3D" TargetMode="External"/><Relationship Id="rId10" Type="http://schemas.openxmlformats.org/officeDocument/2006/relationships/hyperlink" Target="https://eu.mouser.com/es/ProductDetail/Vishay-Semiconductors/VLMTG1400-GS08?qs=sGAEpiMZZMsl8UZd3ZuU6aAY3C3HMTrK5kQO%252Ba%252B7lY7WCtQ7rJfP6A%3D%3D" TargetMode="External"/><Relationship Id="rId19" Type="http://schemas.openxmlformats.org/officeDocument/2006/relationships/hyperlink" Target="https://eu.mouser.com/es/ProductDetail/YAGEO/RC0805JR-07150RL?qs=KyGMWp10Ukuj2ys2qNRVFA%3D%3D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eu.mouser.com/en/ProductDetail/Texas-Instruments/OPA2376AQDRQ1?qs=sGAEpiMZZMutXGli8Ay4kJ7zXpaT58Zk%252B%2FBm7rDhytA%3D" TargetMode="External"/><Relationship Id="rId9" Type="http://schemas.openxmlformats.org/officeDocument/2006/relationships/hyperlink" Target="https://eu.mouser.com/es/ProductDetail/Wurth-Elektronik/150120RS75000?qs=2kOmHSv6VfSstSh2FOQbDw%3D%3D" TargetMode="External"/><Relationship Id="rId14" Type="http://schemas.openxmlformats.org/officeDocument/2006/relationships/hyperlink" Target="https://eu.mouser.com/es/ProductDetail/KYOCERA-AVX/KAM31GR71H475KL?qs=Jm2GQyTW%2FbjSbY1tCxiE1g%3D%3D" TargetMode="External"/><Relationship Id="rId22" Type="http://schemas.openxmlformats.org/officeDocument/2006/relationships/hyperlink" Target="https://eu.mouser.com/es/ProductDetail/Walsin/MR06X7321FTL?qs=sGAEpiMZZMvdGkrng054twq3eZrCFN896BXXhX8qjd8sPdLP0zG3Bg%3D%3D" TargetMode="External"/><Relationship Id="rId27" Type="http://schemas.openxmlformats.org/officeDocument/2006/relationships/hyperlink" Target="https://eu.mouser.com/es/ProductDetail/Wolfspeed/C3D10065A?qs=D3QG1iK7FqgMAdW1WuL7Qg%3D%3D" TargetMode="External"/><Relationship Id="rId30" Type="http://schemas.openxmlformats.org/officeDocument/2006/relationships/hyperlink" Target="https://eu.mouser.com/es/ProductDetail/Texas-Instruments/SN74LVC1G08DBVR?qs=8yeEWhuAOtNjtL049wSCo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77D5-89DB-4EEE-BA9C-ADE54D8342D5}">
  <dimension ref="A1:H63"/>
  <sheetViews>
    <sheetView topLeftCell="A6" zoomScale="90" workbookViewId="0">
      <selection activeCell="B24" sqref="B24"/>
    </sheetView>
  </sheetViews>
  <sheetFormatPr baseColWidth="10" defaultRowHeight="14.25" x14ac:dyDescent="0.45"/>
  <cols>
    <col min="1" max="1" width="18.3984375" bestFit="1" customWidth="1"/>
    <col min="2" max="2" width="24.265625" bestFit="1" customWidth="1"/>
    <col min="3" max="3" width="18.33203125" bestFit="1" customWidth="1"/>
    <col min="5" max="5" width="10.6640625" style="2"/>
    <col min="6" max="6" width="12.9296875" customWidth="1"/>
    <col min="7" max="7" width="12.59765625" style="2" bestFit="1" customWidth="1"/>
    <col min="8" max="8" width="255.59765625" bestFit="1" customWidth="1"/>
  </cols>
  <sheetData>
    <row r="1" spans="1:8" x14ac:dyDescent="0.45">
      <c r="A1" t="s">
        <v>38</v>
      </c>
      <c r="B1" t="s">
        <v>39</v>
      </c>
      <c r="C1" t="s">
        <v>0</v>
      </c>
      <c r="D1" t="s">
        <v>40</v>
      </c>
      <c r="E1" s="2" t="s">
        <v>41</v>
      </c>
      <c r="F1" t="s">
        <v>42</v>
      </c>
      <c r="G1" s="2" t="s">
        <v>36</v>
      </c>
      <c r="H1" t="s">
        <v>37</v>
      </c>
    </row>
    <row r="2" spans="1:8" x14ac:dyDescent="0.45">
      <c r="A2" t="s">
        <v>43</v>
      </c>
      <c r="B2" s="4" t="s">
        <v>64</v>
      </c>
      <c r="C2" t="s">
        <v>133</v>
      </c>
      <c r="D2">
        <v>12</v>
      </c>
      <c r="E2" s="2">
        <v>0.72299999999999998</v>
      </c>
      <c r="F2">
        <v>1</v>
      </c>
      <c r="G2" s="2">
        <f>Tabla1[[#This Row],[QTY]]*Tabla1[[#This Row],[Price Unit]]</f>
        <v>8.6760000000000002</v>
      </c>
      <c r="H2" t="s">
        <v>63</v>
      </c>
    </row>
    <row r="3" spans="1:8" x14ac:dyDescent="0.45">
      <c r="A3" t="s">
        <v>43</v>
      </c>
      <c r="B3" s="4" t="s">
        <v>65</v>
      </c>
      <c r="C3" t="s">
        <v>53</v>
      </c>
      <c r="D3">
        <v>8</v>
      </c>
      <c r="F3">
        <v>1</v>
      </c>
      <c r="G3" s="2">
        <f>Tabla1[[#This Row],[QTY]]*Tabla1[[#This Row],[Price Unit]]</f>
        <v>0</v>
      </c>
    </row>
    <row r="4" spans="1:8" x14ac:dyDescent="0.45">
      <c r="A4" t="s">
        <v>43</v>
      </c>
      <c r="B4" s="4" t="s">
        <v>66</v>
      </c>
      <c r="C4" t="s">
        <v>54</v>
      </c>
      <c r="D4">
        <v>3</v>
      </c>
      <c r="E4" s="2">
        <v>0.5</v>
      </c>
      <c r="F4">
        <v>1</v>
      </c>
      <c r="G4" s="2">
        <f>Tabla1[[#This Row],[QTY]]*Tabla1[[#This Row],[Price Unit]]</f>
        <v>1.5</v>
      </c>
      <c r="H4" s="1" t="s">
        <v>67</v>
      </c>
    </row>
    <row r="5" spans="1:8" x14ac:dyDescent="0.45">
      <c r="A5" t="s">
        <v>43</v>
      </c>
      <c r="B5" s="4" t="s">
        <v>137</v>
      </c>
      <c r="C5" t="s">
        <v>2</v>
      </c>
      <c r="D5">
        <v>2</v>
      </c>
      <c r="E5" s="2">
        <v>0.29199999999999998</v>
      </c>
      <c r="F5">
        <v>1</v>
      </c>
      <c r="G5" s="2">
        <f>Tabla1[[#This Row],[QTY]]*Tabla1[[#This Row],[Price Unit]]</f>
        <v>0.58399999999999996</v>
      </c>
      <c r="H5" s="1" t="s">
        <v>138</v>
      </c>
    </row>
    <row r="6" spans="1:8" x14ac:dyDescent="0.45">
      <c r="A6" t="s">
        <v>43</v>
      </c>
      <c r="B6" s="4" t="s">
        <v>69</v>
      </c>
      <c r="C6" t="s">
        <v>8</v>
      </c>
      <c r="D6">
        <v>9</v>
      </c>
      <c r="E6" s="2">
        <v>0.29499999999999998</v>
      </c>
      <c r="F6">
        <v>1</v>
      </c>
      <c r="G6" s="2">
        <f>Tabla1[[#This Row],[QTY]]*Tabla1[[#This Row],[Price Unit]]</f>
        <v>2.6549999999999998</v>
      </c>
      <c r="H6" s="1" t="s">
        <v>68</v>
      </c>
    </row>
    <row r="7" spans="1:8" x14ac:dyDescent="0.45">
      <c r="A7" t="s">
        <v>43</v>
      </c>
      <c r="B7" s="4" t="s">
        <v>144</v>
      </c>
      <c r="C7" t="s">
        <v>3</v>
      </c>
      <c r="D7">
        <v>2</v>
      </c>
      <c r="E7" s="2">
        <v>0.29199999999999998</v>
      </c>
      <c r="F7">
        <v>1</v>
      </c>
      <c r="G7" s="2">
        <f>Tabla1[[#This Row],[QTY]]*Tabla1[[#This Row],[Price Unit]]</f>
        <v>0.58399999999999996</v>
      </c>
      <c r="H7" t="s">
        <v>143</v>
      </c>
    </row>
    <row r="8" spans="1:8" x14ac:dyDescent="0.45">
      <c r="A8" t="s">
        <v>43</v>
      </c>
      <c r="B8" s="4" t="s">
        <v>70</v>
      </c>
      <c r="C8" t="s">
        <v>1</v>
      </c>
      <c r="D8">
        <v>2</v>
      </c>
      <c r="E8" s="2">
        <v>0.245</v>
      </c>
      <c r="F8">
        <v>1</v>
      </c>
      <c r="G8" s="2">
        <f>Tabla1[[#This Row],[QTY]]*Tabla1[[#This Row],[Price Unit]]</f>
        <v>0.49</v>
      </c>
      <c r="H8" s="1" t="s">
        <v>71</v>
      </c>
    </row>
    <row r="9" spans="1:8" x14ac:dyDescent="0.45">
      <c r="A9" t="s">
        <v>43</v>
      </c>
      <c r="B9" s="4" t="s">
        <v>72</v>
      </c>
      <c r="C9" t="s">
        <v>4</v>
      </c>
      <c r="D9">
        <v>4</v>
      </c>
      <c r="E9" s="2">
        <v>4.7E-2</v>
      </c>
      <c r="F9">
        <v>1</v>
      </c>
      <c r="G9" s="2">
        <f>Tabla1[[#This Row],[QTY]]*Tabla1[[#This Row],[Price Unit]]</f>
        <v>0.188</v>
      </c>
      <c r="H9" s="1" t="s">
        <v>73</v>
      </c>
    </row>
    <row r="10" spans="1:8" x14ac:dyDescent="0.45">
      <c r="A10" t="s">
        <v>43</v>
      </c>
      <c r="B10" s="4" t="s">
        <v>148</v>
      </c>
      <c r="C10" t="s">
        <v>55</v>
      </c>
      <c r="D10">
        <v>1</v>
      </c>
      <c r="E10" s="2">
        <v>0.43</v>
      </c>
      <c r="F10">
        <v>1</v>
      </c>
      <c r="G10" s="2">
        <f>Tabla1[[#This Row],[QTY]]*Tabla1[[#This Row],[Price Unit]]</f>
        <v>0.43</v>
      </c>
      <c r="H10" t="s">
        <v>147</v>
      </c>
    </row>
    <row r="11" spans="1:8" x14ac:dyDescent="0.45">
      <c r="A11" t="s">
        <v>43</v>
      </c>
      <c r="B11" s="4" t="s">
        <v>75</v>
      </c>
      <c r="C11" t="s">
        <v>5</v>
      </c>
      <c r="D11">
        <v>2</v>
      </c>
      <c r="E11" s="3">
        <v>7.1999999999999995E-2</v>
      </c>
      <c r="F11">
        <v>1</v>
      </c>
      <c r="G11" s="2">
        <f>Tabla1[[#This Row],[QTY]]*Tabla1[[#This Row],[Price Unit]]</f>
        <v>0.14399999999999999</v>
      </c>
      <c r="H11" s="1" t="s">
        <v>74</v>
      </c>
    </row>
    <row r="12" spans="1:8" x14ac:dyDescent="0.45">
      <c r="A12" t="s">
        <v>43</v>
      </c>
      <c r="B12" s="4" t="s">
        <v>140</v>
      </c>
      <c r="C12" t="s">
        <v>6</v>
      </c>
      <c r="D12">
        <v>2</v>
      </c>
      <c r="E12" s="2">
        <v>0.26700000000000002</v>
      </c>
      <c r="F12">
        <v>1</v>
      </c>
      <c r="G12" s="2">
        <f>Tabla1[[#This Row],[QTY]]*Tabla1[[#This Row],[Price Unit]]</f>
        <v>0.53400000000000003</v>
      </c>
      <c r="H12" s="1" t="s">
        <v>139</v>
      </c>
    </row>
    <row r="13" spans="1:8" x14ac:dyDescent="0.45">
      <c r="A13" t="s">
        <v>43</v>
      </c>
      <c r="B13" s="4" t="s">
        <v>142</v>
      </c>
      <c r="C13" t="s">
        <v>7</v>
      </c>
      <c r="D13">
        <v>2</v>
      </c>
      <c r="E13" s="2">
        <v>0.55000000000000004</v>
      </c>
      <c r="F13">
        <v>1</v>
      </c>
      <c r="G13" s="2">
        <f>Tabla1[[#This Row],[QTY]]*Tabla1[[#This Row],[Price Unit]]</f>
        <v>1.1000000000000001</v>
      </c>
      <c r="H13" s="1" t="s">
        <v>141</v>
      </c>
    </row>
    <row r="14" spans="1:8" x14ac:dyDescent="0.45">
      <c r="A14" t="s">
        <v>43</v>
      </c>
      <c r="B14" s="4" t="s">
        <v>146</v>
      </c>
      <c r="C14" t="s">
        <v>56</v>
      </c>
      <c r="D14">
        <v>1</v>
      </c>
      <c r="E14" s="2">
        <v>0.19800000000000001</v>
      </c>
      <c r="F14">
        <v>1</v>
      </c>
      <c r="G14" s="2">
        <f>Tabla1[[#This Row],[QTY]]*Tabla1[[#This Row],[Price Unit]]</f>
        <v>0.19800000000000001</v>
      </c>
      <c r="H14" s="1" t="s">
        <v>145</v>
      </c>
    </row>
    <row r="15" spans="1:8" x14ac:dyDescent="0.45">
      <c r="A15" t="s">
        <v>82</v>
      </c>
      <c r="B15" s="4" t="s">
        <v>81</v>
      </c>
      <c r="C15" t="s">
        <v>9</v>
      </c>
      <c r="D15">
        <v>4</v>
      </c>
      <c r="E15" s="2">
        <v>2.6</v>
      </c>
      <c r="F15">
        <v>1</v>
      </c>
      <c r="G15" s="2">
        <f>Tabla1[[#This Row],[QTY]]*Tabla1[[#This Row],[Price Unit]]</f>
        <v>10.4</v>
      </c>
      <c r="H15" s="1" t="s">
        <v>80</v>
      </c>
    </row>
    <row r="16" spans="1:8" x14ac:dyDescent="0.45">
      <c r="A16" t="s">
        <v>84</v>
      </c>
      <c r="B16" s="4" t="s">
        <v>83</v>
      </c>
      <c r="C16" t="s">
        <v>10</v>
      </c>
      <c r="D16">
        <v>2</v>
      </c>
      <c r="E16" s="2">
        <v>0.67100000000000004</v>
      </c>
      <c r="F16">
        <v>1</v>
      </c>
      <c r="G16" s="2">
        <f>Tabla1[[#This Row],[QTY]]*Tabla1[[#This Row],[Price Unit]]</f>
        <v>1.3420000000000001</v>
      </c>
      <c r="H16" s="1" t="s">
        <v>85</v>
      </c>
    </row>
    <row r="17" spans="1:8" x14ac:dyDescent="0.45">
      <c r="A17" t="s">
        <v>114</v>
      </c>
      <c r="B17" s="4" t="s">
        <v>356</v>
      </c>
      <c r="C17" t="s">
        <v>11</v>
      </c>
      <c r="D17">
        <v>5</v>
      </c>
      <c r="E17" s="2">
        <v>0.36099999999999999</v>
      </c>
      <c r="F17">
        <v>1</v>
      </c>
      <c r="G17" s="2">
        <f>Tabla1[[#This Row],[QTY]]*Tabla1[[#This Row],[Price Unit]]</f>
        <v>1.8049999999999999</v>
      </c>
      <c r="H17" s="1" t="s">
        <v>132</v>
      </c>
    </row>
    <row r="18" spans="1:8" x14ac:dyDescent="0.45">
      <c r="A18" t="s">
        <v>114</v>
      </c>
      <c r="B18" s="4" t="s">
        <v>117</v>
      </c>
      <c r="C18" t="s">
        <v>12</v>
      </c>
      <c r="D18">
        <v>1</v>
      </c>
      <c r="E18" s="2">
        <v>0.19800000000000001</v>
      </c>
      <c r="F18">
        <v>1</v>
      </c>
      <c r="G18" s="2">
        <f>Tabla1[[#This Row],[QTY]]*Tabla1[[#This Row],[Price Unit]]</f>
        <v>0.19800000000000001</v>
      </c>
      <c r="H18" s="1" t="s">
        <v>116</v>
      </c>
    </row>
    <row r="19" spans="1:8" x14ac:dyDescent="0.45">
      <c r="A19" t="s">
        <v>114</v>
      </c>
      <c r="B19" s="4" t="s">
        <v>115</v>
      </c>
      <c r="C19" t="s">
        <v>13</v>
      </c>
      <c r="D19">
        <v>1</v>
      </c>
      <c r="E19" s="2">
        <v>0.19800000000000001</v>
      </c>
      <c r="F19">
        <v>1</v>
      </c>
      <c r="G19" s="2">
        <f>Tabla1[[#This Row],[QTY]]*Tabla1[[#This Row],[Price Unit]]</f>
        <v>0.19800000000000001</v>
      </c>
      <c r="H19" s="1" t="s">
        <v>113</v>
      </c>
    </row>
    <row r="20" spans="1:8" x14ac:dyDescent="0.45">
      <c r="A20" t="s">
        <v>86</v>
      </c>
      <c r="B20" s="4" t="s">
        <v>14</v>
      </c>
      <c r="C20" t="s">
        <v>14</v>
      </c>
      <c r="D20">
        <v>2</v>
      </c>
      <c r="E20" s="2">
        <v>0.31</v>
      </c>
      <c r="F20">
        <v>1</v>
      </c>
      <c r="G20" s="2">
        <f>Tabla1[[#This Row],[QTY]]*Tabla1[[#This Row],[Price Unit]]</f>
        <v>0.62</v>
      </c>
      <c r="H20" s="1" t="s">
        <v>87</v>
      </c>
    </row>
    <row r="21" spans="1:8" x14ac:dyDescent="0.45">
      <c r="A21" t="s">
        <v>118</v>
      </c>
      <c r="B21" s="4" t="s">
        <v>120</v>
      </c>
      <c r="C21" t="s">
        <v>15</v>
      </c>
      <c r="D21">
        <v>1</v>
      </c>
      <c r="E21" s="2">
        <v>0.12</v>
      </c>
      <c r="F21">
        <v>1</v>
      </c>
      <c r="G21" s="2">
        <f>Tabla1[[#This Row],[QTY]]*Tabla1[[#This Row],[Price Unit]]</f>
        <v>0.12</v>
      </c>
      <c r="H21" s="1" t="s">
        <v>119</v>
      </c>
    </row>
    <row r="22" spans="1:8" x14ac:dyDescent="0.45">
      <c r="A22" t="s">
        <v>89</v>
      </c>
      <c r="B22" s="4" t="s">
        <v>16</v>
      </c>
      <c r="C22" t="s">
        <v>16</v>
      </c>
      <c r="D22">
        <v>2</v>
      </c>
      <c r="E22" s="2">
        <v>5.05</v>
      </c>
      <c r="F22">
        <v>1</v>
      </c>
      <c r="G22" s="2">
        <f>Tabla1[[#This Row],[QTY]]*Tabla1[[#This Row],[Price Unit]]</f>
        <v>10.1</v>
      </c>
      <c r="H22" s="1" t="s">
        <v>90</v>
      </c>
    </row>
    <row r="23" spans="1:8" x14ac:dyDescent="0.45">
      <c r="A23" t="s">
        <v>78</v>
      </c>
      <c r="B23" s="4" t="s">
        <v>17</v>
      </c>
      <c r="C23" t="s">
        <v>17</v>
      </c>
      <c r="D23">
        <v>1</v>
      </c>
      <c r="E23" s="2">
        <v>5.47</v>
      </c>
      <c r="F23">
        <v>1</v>
      </c>
      <c r="G23" s="2">
        <f>Tabla1[[#This Row],[QTY]]*Tabla1[[#This Row],[Price Unit]]</f>
        <v>5.47</v>
      </c>
      <c r="H23" t="s">
        <v>88</v>
      </c>
    </row>
    <row r="24" spans="1:8" x14ac:dyDescent="0.45">
      <c r="A24" t="s">
        <v>79</v>
      </c>
      <c r="B24" s="4" t="s">
        <v>18</v>
      </c>
      <c r="C24" t="s">
        <v>18</v>
      </c>
      <c r="D24">
        <v>2</v>
      </c>
      <c r="E24" s="2">
        <v>2.4900000000000002</v>
      </c>
      <c r="F24">
        <v>1</v>
      </c>
      <c r="G24" s="2">
        <f>Tabla1[[#This Row],[QTY]]*Tabla1[[#This Row],[Price Unit]]</f>
        <v>4.9800000000000004</v>
      </c>
      <c r="H24" t="s">
        <v>91</v>
      </c>
    </row>
    <row r="25" spans="1:8" x14ac:dyDescent="0.45">
      <c r="A25" t="s">
        <v>77</v>
      </c>
      <c r="B25" s="4" t="s">
        <v>57</v>
      </c>
      <c r="C25" t="s">
        <v>57</v>
      </c>
      <c r="D25">
        <v>1</v>
      </c>
      <c r="E25" s="2">
        <v>0.10299999999999999</v>
      </c>
      <c r="F25">
        <v>1</v>
      </c>
      <c r="G25" s="2">
        <f>Tabla1[[#This Row],[QTY]]*Tabla1[[#This Row],[Price Unit]]</f>
        <v>0.10299999999999999</v>
      </c>
      <c r="H25" s="1" t="s">
        <v>169</v>
      </c>
    </row>
    <row r="26" spans="1:8" x14ac:dyDescent="0.45">
      <c r="A26" t="s">
        <v>51</v>
      </c>
      <c r="B26" s="4" t="s">
        <v>52</v>
      </c>
      <c r="C26" t="s">
        <v>52</v>
      </c>
      <c r="D26">
        <v>1</v>
      </c>
      <c r="E26" s="2">
        <v>1.88</v>
      </c>
      <c r="F26">
        <v>1</v>
      </c>
      <c r="G26" s="2">
        <f>Tabla1[[#This Row],[QTY]]*Tabla1[[#This Row],[Price Unit]]</f>
        <v>1.88</v>
      </c>
      <c r="H26" s="1" t="s">
        <v>50</v>
      </c>
    </row>
    <row r="27" spans="1:8" x14ac:dyDescent="0.45">
      <c r="A27" t="s">
        <v>79</v>
      </c>
      <c r="B27" s="4" t="s">
        <v>49</v>
      </c>
      <c r="C27" t="s">
        <v>49</v>
      </c>
      <c r="D27">
        <v>2</v>
      </c>
      <c r="E27" s="2">
        <v>3</v>
      </c>
      <c r="F27">
        <v>1</v>
      </c>
      <c r="G27" s="2">
        <f>Tabla1[[#This Row],[QTY]]*Tabla1[[#This Row],[Price Unit]]</f>
        <v>6</v>
      </c>
      <c r="H27" s="1" t="s">
        <v>48</v>
      </c>
    </row>
    <row r="28" spans="1:8" x14ac:dyDescent="0.45">
      <c r="A28" t="s">
        <v>76</v>
      </c>
      <c r="B28" s="4" t="s">
        <v>19</v>
      </c>
      <c r="C28" t="s">
        <v>19</v>
      </c>
      <c r="D28">
        <v>1</v>
      </c>
      <c r="E28" s="2">
        <v>12.79</v>
      </c>
      <c r="F28">
        <v>1</v>
      </c>
      <c r="G28" s="2">
        <f>Tabla1[[#This Row],[QTY]]*Tabla1[[#This Row],[Price Unit]]</f>
        <v>12.79</v>
      </c>
      <c r="H28" s="1" t="s">
        <v>92</v>
      </c>
    </row>
    <row r="29" spans="1:8" x14ac:dyDescent="0.45">
      <c r="A29" t="s">
        <v>93</v>
      </c>
      <c r="B29" s="4" t="s">
        <v>20</v>
      </c>
      <c r="C29" t="s">
        <v>20</v>
      </c>
      <c r="D29">
        <v>1</v>
      </c>
      <c r="E29" s="2">
        <v>6.06</v>
      </c>
      <c r="F29">
        <v>1</v>
      </c>
      <c r="G29" s="2">
        <f>Tabla1[[#This Row],[QTY]]*Tabla1[[#This Row],[Price Unit]]</f>
        <v>6.06</v>
      </c>
      <c r="H29" t="s">
        <v>123</v>
      </c>
    </row>
    <row r="30" spans="1:8" x14ac:dyDescent="0.45">
      <c r="A30" t="s">
        <v>364</v>
      </c>
      <c r="B30" s="4" t="s">
        <v>44</v>
      </c>
      <c r="C30" t="s">
        <v>44</v>
      </c>
      <c r="D30">
        <v>1</v>
      </c>
      <c r="E30" s="2">
        <v>0.20599999999999999</v>
      </c>
      <c r="F30">
        <v>1</v>
      </c>
      <c r="G30" s="2">
        <f>Tabla1[[#This Row],[QTY]]*Tabla1[[#This Row],[Price Unit]]</f>
        <v>0.20599999999999999</v>
      </c>
      <c r="H30" s="1" t="s">
        <v>45</v>
      </c>
    </row>
    <row r="31" spans="1:8" x14ac:dyDescent="0.45">
      <c r="A31" t="s">
        <v>112</v>
      </c>
      <c r="B31" s="4" t="s">
        <v>182</v>
      </c>
      <c r="C31" t="s">
        <v>21</v>
      </c>
      <c r="D31">
        <v>1</v>
      </c>
      <c r="E31" s="2">
        <v>1.72</v>
      </c>
      <c r="F31">
        <v>1</v>
      </c>
      <c r="G31" s="2">
        <f>Tabla1[[#This Row],[QTY]]*Tabla1[[#This Row],[Price Unit]]</f>
        <v>1.72</v>
      </c>
      <c r="H31" s="1" t="s">
        <v>183</v>
      </c>
    </row>
    <row r="32" spans="1:8" ht="14.65" customHeight="1" x14ac:dyDescent="0.45">
      <c r="A32" t="s">
        <v>112</v>
      </c>
      <c r="B32" s="4">
        <v>1731734</v>
      </c>
      <c r="C32" t="s">
        <v>122</v>
      </c>
      <c r="D32">
        <v>2</v>
      </c>
      <c r="E32" s="2">
        <v>2.92</v>
      </c>
      <c r="F32">
        <v>1</v>
      </c>
      <c r="G32" s="2">
        <f>Tabla1[[#This Row],[QTY]]*Tabla1[[#This Row],[Price Unit]]</f>
        <v>5.84</v>
      </c>
      <c r="H32" s="1" t="s">
        <v>121</v>
      </c>
    </row>
    <row r="33" spans="1:8" x14ac:dyDescent="0.45">
      <c r="A33" t="s">
        <v>94</v>
      </c>
      <c r="B33" s="4" t="s">
        <v>96</v>
      </c>
      <c r="C33" t="s">
        <v>97</v>
      </c>
      <c r="D33">
        <v>1</v>
      </c>
      <c r="E33" s="2">
        <v>1.39</v>
      </c>
      <c r="F33">
        <v>1</v>
      </c>
      <c r="G33" s="2">
        <f>Tabla1[[#This Row],[QTY]]*Tabla1[[#This Row],[Price Unit]]</f>
        <v>1.39</v>
      </c>
      <c r="H33" t="s">
        <v>95</v>
      </c>
    </row>
    <row r="34" spans="1:8" x14ac:dyDescent="0.45">
      <c r="A34" t="s">
        <v>47</v>
      </c>
      <c r="B34" s="4">
        <v>784777471</v>
      </c>
      <c r="C34" t="s">
        <v>22</v>
      </c>
      <c r="D34">
        <v>1</v>
      </c>
      <c r="E34" s="2">
        <v>2.16</v>
      </c>
      <c r="F34">
        <v>1</v>
      </c>
      <c r="G34" s="2">
        <f>Tabla1[[#This Row],[QTY]]*Tabla1[[#This Row],[Price Unit]]</f>
        <v>2.16</v>
      </c>
      <c r="H34" t="s">
        <v>124</v>
      </c>
    </row>
    <row r="35" spans="1:8" x14ac:dyDescent="0.45">
      <c r="A35" t="s">
        <v>47</v>
      </c>
      <c r="B35" s="4">
        <v>74437349022</v>
      </c>
      <c r="C35" t="s">
        <v>58</v>
      </c>
      <c r="D35">
        <v>1</v>
      </c>
      <c r="E35" s="2">
        <v>1.99</v>
      </c>
      <c r="F35">
        <v>1</v>
      </c>
      <c r="G35" s="2">
        <f>Tabla1[[#This Row],[QTY]]*Tabla1[[#This Row],[Price Unit]]</f>
        <v>1.99</v>
      </c>
      <c r="H35" s="1" t="s">
        <v>46</v>
      </c>
    </row>
    <row r="36" spans="1:8" x14ac:dyDescent="0.45">
      <c r="A36" t="s">
        <v>101</v>
      </c>
      <c r="B36" s="4" t="s">
        <v>23</v>
      </c>
      <c r="C36" t="s">
        <v>23</v>
      </c>
      <c r="D36">
        <v>2</v>
      </c>
      <c r="E36" s="2">
        <v>10.93</v>
      </c>
      <c r="F36">
        <v>1</v>
      </c>
      <c r="G36" s="2">
        <f>Tabla1[[#This Row],[QTY]]*Tabla1[[#This Row],[Price Unit]]</f>
        <v>21.86</v>
      </c>
      <c r="H36" s="1" t="s">
        <v>111</v>
      </c>
    </row>
    <row r="37" spans="1:8" x14ac:dyDescent="0.45">
      <c r="A37" t="s">
        <v>98</v>
      </c>
      <c r="B37" s="4" t="s">
        <v>181</v>
      </c>
      <c r="C37" t="s">
        <v>24</v>
      </c>
      <c r="D37">
        <v>1</v>
      </c>
      <c r="E37" s="2">
        <v>0.14000000000000001</v>
      </c>
      <c r="F37">
        <v>1</v>
      </c>
      <c r="G37" s="2">
        <f>Tabla1[[#This Row],[QTY]]*Tabla1[[#This Row],[Price Unit]]</f>
        <v>0.14000000000000001</v>
      </c>
      <c r="H37" s="1" t="s">
        <v>180</v>
      </c>
    </row>
    <row r="38" spans="1:8" x14ac:dyDescent="0.45">
      <c r="A38" t="s">
        <v>98</v>
      </c>
      <c r="B38" s="4" t="s">
        <v>159</v>
      </c>
      <c r="C38" t="s">
        <v>25</v>
      </c>
      <c r="D38">
        <v>1</v>
      </c>
      <c r="E38" s="2">
        <v>8.5999999999999993E-2</v>
      </c>
      <c r="F38">
        <v>1</v>
      </c>
      <c r="G38" s="2">
        <f>Tabla1[[#This Row],[QTY]]*Tabla1[[#This Row],[Price Unit]]</f>
        <v>8.5999999999999993E-2</v>
      </c>
      <c r="H38" s="1" t="s">
        <v>158</v>
      </c>
    </row>
    <row r="39" spans="1:8" x14ac:dyDescent="0.45">
      <c r="A39" t="s">
        <v>98</v>
      </c>
      <c r="B39" s="4" t="s">
        <v>163</v>
      </c>
      <c r="C39" t="s">
        <v>26</v>
      </c>
      <c r="D39">
        <v>3</v>
      </c>
      <c r="E39" s="2">
        <v>0.189</v>
      </c>
      <c r="F39">
        <v>1</v>
      </c>
      <c r="G39" s="2">
        <f>Tabla1[[#This Row],[QTY]]*Tabla1[[#This Row],[Price Unit]]</f>
        <v>0.56699999999999995</v>
      </c>
      <c r="H39" t="s">
        <v>162</v>
      </c>
    </row>
    <row r="40" spans="1:8" x14ac:dyDescent="0.45">
      <c r="A40" t="s">
        <v>98</v>
      </c>
      <c r="B40" s="4" t="s">
        <v>157</v>
      </c>
      <c r="C40" t="s">
        <v>26</v>
      </c>
      <c r="D40">
        <v>2</v>
      </c>
      <c r="E40" s="7">
        <v>0.151</v>
      </c>
      <c r="F40">
        <v>1</v>
      </c>
      <c r="G40" s="2">
        <f>Tabla1[[#This Row],[QTY]]*Tabla1[[#This Row],[Price Unit]]</f>
        <v>0.30199999999999999</v>
      </c>
      <c r="H40" t="s">
        <v>156</v>
      </c>
    </row>
    <row r="41" spans="1:8" x14ac:dyDescent="0.45">
      <c r="A41" t="s">
        <v>98</v>
      </c>
      <c r="B41" s="4" t="s">
        <v>173</v>
      </c>
      <c r="C41" t="s">
        <v>27</v>
      </c>
      <c r="D41">
        <v>1</v>
      </c>
      <c r="E41" s="2">
        <v>8.5999999999999993E-2</v>
      </c>
      <c r="F41">
        <v>1</v>
      </c>
      <c r="G41" s="2">
        <f>Tabla1[[#This Row],[QTY]]*Tabla1[[#This Row],[Price Unit]]</f>
        <v>8.5999999999999993E-2</v>
      </c>
      <c r="H41" t="s">
        <v>172</v>
      </c>
    </row>
    <row r="42" spans="1:8" x14ac:dyDescent="0.45">
      <c r="A42" t="s">
        <v>98</v>
      </c>
      <c r="B42" s="4" t="s">
        <v>161</v>
      </c>
      <c r="C42" t="s">
        <v>28</v>
      </c>
      <c r="D42">
        <v>4</v>
      </c>
      <c r="E42" s="2">
        <v>0.215</v>
      </c>
      <c r="F42">
        <v>1</v>
      </c>
      <c r="G42" s="2">
        <f>Tabla1[[#This Row],[QTY]]*Tabla1[[#This Row],[Price Unit]]</f>
        <v>0.86</v>
      </c>
      <c r="H42" t="s">
        <v>160</v>
      </c>
    </row>
    <row r="43" spans="1:8" x14ac:dyDescent="0.45">
      <c r="A43" t="s">
        <v>98</v>
      </c>
      <c r="B43" s="4" t="s">
        <v>153</v>
      </c>
      <c r="C43" t="s">
        <v>59</v>
      </c>
      <c r="D43">
        <v>1</v>
      </c>
      <c r="E43" s="2">
        <v>0.14599999999999999</v>
      </c>
      <c r="F43">
        <v>1</v>
      </c>
      <c r="G43" s="2">
        <f>Tabla1[[#This Row],[QTY]]*Tabla1[[#This Row],[Price Unit]]</f>
        <v>0.14599999999999999</v>
      </c>
      <c r="H43" t="s">
        <v>152</v>
      </c>
    </row>
    <row r="44" spans="1:8" x14ac:dyDescent="0.45">
      <c r="A44" t="s">
        <v>98</v>
      </c>
      <c r="B44" s="4" t="s">
        <v>155</v>
      </c>
      <c r="C44" t="s">
        <v>134</v>
      </c>
      <c r="D44">
        <v>1</v>
      </c>
      <c r="E44" s="2">
        <v>0.24099999999999999</v>
      </c>
      <c r="F44">
        <v>1</v>
      </c>
      <c r="G44" s="2">
        <f>Tabla1[[#This Row],[QTY]]*Tabla1[[#This Row],[Price Unit]]</f>
        <v>0.24099999999999999</v>
      </c>
      <c r="H44" t="s">
        <v>154</v>
      </c>
    </row>
    <row r="45" spans="1:8" x14ac:dyDescent="0.45">
      <c r="A45" t="s">
        <v>98</v>
      </c>
      <c r="B45" s="4" t="s">
        <v>151</v>
      </c>
      <c r="C45" t="s">
        <v>149</v>
      </c>
      <c r="D45">
        <v>2</v>
      </c>
      <c r="E45" s="2">
        <v>0.249</v>
      </c>
      <c r="F45">
        <v>1</v>
      </c>
      <c r="G45" s="2">
        <f>Tabla1[[#This Row],[QTY]]*Tabla1[[#This Row],[Price Unit]]</f>
        <v>0.498</v>
      </c>
      <c r="H45" t="s">
        <v>150</v>
      </c>
    </row>
    <row r="46" spans="1:8" x14ac:dyDescent="0.45">
      <c r="A46" t="s">
        <v>98</v>
      </c>
      <c r="B46" s="4" t="s">
        <v>131</v>
      </c>
      <c r="C46" t="s">
        <v>29</v>
      </c>
      <c r="D46">
        <v>25</v>
      </c>
      <c r="E46" s="2">
        <v>0.14599999999999999</v>
      </c>
      <c r="F46">
        <v>1</v>
      </c>
      <c r="G46" s="2">
        <f>Tabla1[[#This Row],[QTY]]*Tabla1[[#This Row],[Price Unit]]</f>
        <v>3.65</v>
      </c>
      <c r="H46" s="1" t="s">
        <v>130</v>
      </c>
    </row>
    <row r="47" spans="1:8" x14ac:dyDescent="0.45">
      <c r="A47" t="s">
        <v>98</v>
      </c>
      <c r="B47" s="8">
        <v>560112116072</v>
      </c>
      <c r="C47" t="s">
        <v>30</v>
      </c>
      <c r="D47">
        <v>1</v>
      </c>
      <c r="E47" s="2">
        <v>8.5999999999999993E-2</v>
      </c>
      <c r="G47" s="2">
        <f>Tabla1[[#This Row],[QTY]]*Tabla1[[#This Row],[Price Unit]]</f>
        <v>8.5999999999999993E-2</v>
      </c>
      <c r="H47" t="s">
        <v>175</v>
      </c>
    </row>
    <row r="48" spans="1:8" x14ac:dyDescent="0.45">
      <c r="A48" t="s">
        <v>98</v>
      </c>
      <c r="B48" s="8">
        <v>560112116065</v>
      </c>
      <c r="C48" t="s">
        <v>31</v>
      </c>
      <c r="D48">
        <v>1</v>
      </c>
      <c r="E48" s="2">
        <v>8.5999999999999993E-2</v>
      </c>
      <c r="G48" s="2">
        <f>Tabla1[[#This Row],[QTY]]*Tabla1[[#This Row],[Price Unit]]</f>
        <v>8.5999999999999993E-2</v>
      </c>
      <c r="H48" t="s">
        <v>174</v>
      </c>
    </row>
    <row r="49" spans="1:8" x14ac:dyDescent="0.45">
      <c r="A49" t="s">
        <v>98</v>
      </c>
      <c r="B49" s="4" t="s">
        <v>165</v>
      </c>
      <c r="C49" t="s">
        <v>25</v>
      </c>
      <c r="D49">
        <v>4</v>
      </c>
      <c r="E49" s="2">
        <v>8.5999999999999993E-2</v>
      </c>
      <c r="G49" s="2">
        <f>Tabla1[[#This Row],[QTY]]*Tabla1[[#This Row],[Price Unit]]</f>
        <v>0.34399999999999997</v>
      </c>
      <c r="H49" s="1" t="s">
        <v>164</v>
      </c>
    </row>
    <row r="50" spans="1:8" x14ac:dyDescent="0.45">
      <c r="A50" t="s">
        <v>98</v>
      </c>
      <c r="B50" s="4" t="s">
        <v>167</v>
      </c>
      <c r="C50" t="s">
        <v>135</v>
      </c>
      <c r="D50">
        <v>2</v>
      </c>
      <c r="E50" s="2">
        <v>8.8999999999999996E-2</v>
      </c>
      <c r="G50" s="2">
        <f>Tabla1[[#This Row],[QTY]]*Tabla1[[#This Row],[Price Unit]]</f>
        <v>0.17799999999999999</v>
      </c>
      <c r="H50" t="s">
        <v>166</v>
      </c>
    </row>
    <row r="51" spans="1:8" x14ac:dyDescent="0.45">
      <c r="A51" t="s">
        <v>98</v>
      </c>
      <c r="B51" s="4" t="s">
        <v>178</v>
      </c>
      <c r="C51" t="s">
        <v>32</v>
      </c>
      <c r="D51">
        <v>2</v>
      </c>
      <c r="E51" s="2">
        <v>0.12</v>
      </c>
      <c r="F51">
        <v>1</v>
      </c>
      <c r="G51" s="2">
        <f>Tabla1[[#This Row],[QTY]]*Tabla1[[#This Row],[Price Unit]]</f>
        <v>0.24</v>
      </c>
      <c r="H51" t="s">
        <v>179</v>
      </c>
    </row>
    <row r="52" spans="1:8" x14ac:dyDescent="0.45">
      <c r="A52" t="s">
        <v>98</v>
      </c>
      <c r="B52" s="4" t="s">
        <v>129</v>
      </c>
      <c r="C52" t="s">
        <v>60</v>
      </c>
      <c r="D52">
        <v>6</v>
      </c>
      <c r="E52" s="2">
        <v>2.1999999999999999E-2</v>
      </c>
      <c r="F52">
        <v>1</v>
      </c>
      <c r="G52" s="2">
        <f>Tabla1[[#This Row],[QTY]]*Tabla1[[#This Row],[Price Unit]]</f>
        <v>0.13200000000000001</v>
      </c>
      <c r="H52" s="1" t="s">
        <v>128</v>
      </c>
    </row>
    <row r="53" spans="1:8" x14ac:dyDescent="0.45">
      <c r="A53" t="s">
        <v>98</v>
      </c>
      <c r="B53" s="4" t="s">
        <v>176</v>
      </c>
      <c r="C53" t="s">
        <v>61</v>
      </c>
      <c r="D53">
        <v>1</v>
      </c>
      <c r="E53" s="2">
        <v>0.14599999999999999</v>
      </c>
      <c r="G53" s="2">
        <f>Tabla1[[#This Row],[QTY]]*Tabla1[[#This Row],[Price Unit]]</f>
        <v>0.14599999999999999</v>
      </c>
      <c r="H53" t="s">
        <v>177</v>
      </c>
    </row>
    <row r="54" spans="1:8" x14ac:dyDescent="0.45">
      <c r="A54" t="s">
        <v>98</v>
      </c>
      <c r="B54" s="4" t="s">
        <v>171</v>
      </c>
      <c r="C54" t="s">
        <v>136</v>
      </c>
      <c r="D54">
        <v>1</v>
      </c>
      <c r="E54" s="2">
        <v>8.5999999999999993E-2</v>
      </c>
      <c r="F54">
        <v>1</v>
      </c>
      <c r="G54" s="2">
        <f>Tabla1[[#This Row],[QTY]]*Tabla1[[#This Row],[Price Unit]]</f>
        <v>8.5999999999999993E-2</v>
      </c>
      <c r="H54" t="s">
        <v>170</v>
      </c>
    </row>
    <row r="55" spans="1:8" x14ac:dyDescent="0.45">
      <c r="A55" t="s">
        <v>125</v>
      </c>
      <c r="B55" s="4" t="s">
        <v>126</v>
      </c>
      <c r="C55" t="s">
        <v>60</v>
      </c>
      <c r="D55">
        <v>1</v>
      </c>
      <c r="E55" s="2">
        <v>1.06</v>
      </c>
      <c r="F55">
        <v>1</v>
      </c>
      <c r="G55" s="2">
        <f>Tabla1[[#This Row],[QTY]]*Tabla1[[#This Row],[Price Unit]]</f>
        <v>1.06</v>
      </c>
      <c r="H55" t="s">
        <v>127</v>
      </c>
    </row>
    <row r="56" spans="1:8" x14ac:dyDescent="0.45">
      <c r="A56" t="s">
        <v>110</v>
      </c>
      <c r="B56" s="4" t="s">
        <v>109</v>
      </c>
      <c r="C56" t="s">
        <v>33</v>
      </c>
      <c r="D56">
        <v>1</v>
      </c>
      <c r="E56" s="2">
        <v>0.28399999999999997</v>
      </c>
      <c r="F56">
        <v>1</v>
      </c>
      <c r="G56" s="2">
        <f>Tabla1[[#This Row],[QTY]]*Tabla1[[#This Row],[Price Unit]]</f>
        <v>0.28399999999999997</v>
      </c>
      <c r="H56" t="s">
        <v>108</v>
      </c>
    </row>
    <row r="57" spans="1:8" x14ac:dyDescent="0.45">
      <c r="A57" t="s">
        <v>99</v>
      </c>
      <c r="B57" s="4"/>
      <c r="C57" t="s">
        <v>99</v>
      </c>
      <c r="G57" s="2">
        <f>Tabla1[[#This Row],[QTY]]*Tabla1[[#This Row],[Price Unit]]</f>
        <v>0</v>
      </c>
    </row>
    <row r="58" spans="1:8" x14ac:dyDescent="0.45">
      <c r="A58" t="s">
        <v>104</v>
      </c>
      <c r="B58" s="4" t="s">
        <v>103</v>
      </c>
      <c r="C58" t="s">
        <v>34</v>
      </c>
      <c r="D58">
        <v>1</v>
      </c>
      <c r="E58" s="2">
        <v>7.22</v>
      </c>
      <c r="F58">
        <v>1</v>
      </c>
      <c r="G58" s="2">
        <f>Tabla1[[#This Row],[QTY]]*Tabla1[[#This Row],[Price Unit]]</f>
        <v>7.22</v>
      </c>
      <c r="H58" t="s">
        <v>102</v>
      </c>
    </row>
    <row r="59" spans="1:8" x14ac:dyDescent="0.45">
      <c r="A59" t="s">
        <v>101</v>
      </c>
      <c r="B59" s="4" t="s">
        <v>35</v>
      </c>
      <c r="C59" t="s">
        <v>35</v>
      </c>
      <c r="D59">
        <v>2</v>
      </c>
      <c r="E59" s="2">
        <v>8.0299999999999994</v>
      </c>
      <c r="F59">
        <v>1</v>
      </c>
      <c r="G59" s="2">
        <f>Tabla1[[#This Row],[QTY]]*Tabla1[[#This Row],[Price Unit]]</f>
        <v>16.059999999999999</v>
      </c>
      <c r="H59" t="s">
        <v>100</v>
      </c>
    </row>
    <row r="60" spans="1:8" x14ac:dyDescent="0.45">
      <c r="A60" t="s">
        <v>106</v>
      </c>
      <c r="B60" s="4" t="s">
        <v>105</v>
      </c>
      <c r="C60" t="s">
        <v>105</v>
      </c>
      <c r="D60">
        <v>1</v>
      </c>
      <c r="E60" s="2">
        <v>3.97</v>
      </c>
      <c r="F60">
        <v>1</v>
      </c>
      <c r="G60" s="2">
        <f>Tabla1[[#This Row],[QTY]]*Tabla1[[#This Row],[Price Unit]]</f>
        <v>3.97</v>
      </c>
      <c r="H60" t="s">
        <v>107</v>
      </c>
    </row>
    <row r="61" spans="1:8" x14ac:dyDescent="0.45">
      <c r="A61" t="s">
        <v>78</v>
      </c>
      <c r="B61" s="4" t="s">
        <v>62</v>
      </c>
      <c r="C61" t="s">
        <v>62</v>
      </c>
      <c r="D61">
        <v>1</v>
      </c>
      <c r="E61" s="2">
        <v>2.73</v>
      </c>
      <c r="F61">
        <v>1</v>
      </c>
      <c r="G61" s="2">
        <f>Tabla1[[#This Row],[QTY]]*Tabla1[[#This Row],[Price Unit]]</f>
        <v>2.73</v>
      </c>
      <c r="H61" s="1" t="s">
        <v>168</v>
      </c>
    </row>
    <row r="62" spans="1:8" x14ac:dyDescent="0.45">
      <c r="B62" s="4"/>
      <c r="E62" s="6"/>
      <c r="G62" s="6">
        <f>SUM(Tabla1[Total Cost])</f>
        <v>153.51300000000001</v>
      </c>
    </row>
    <row r="63" spans="1:8" x14ac:dyDescent="0.45">
      <c r="G63" s="5">
        <f>Tabla1[[#Totals],[Total Cost]]*7.47</f>
        <v>1146.7421099999999</v>
      </c>
    </row>
  </sheetData>
  <hyperlinks>
    <hyperlink ref="H4" r:id="rId1" xr:uid="{E1CA01E7-C3DC-4A0D-B07C-38172B6D0FC9}"/>
    <hyperlink ref="H30" r:id="rId2" xr:uid="{5C1CC605-DE70-4F62-B967-551BF74B387E}"/>
    <hyperlink ref="H35" r:id="rId3" xr:uid="{41B6355A-178F-4A1B-9023-33BEF460D1BC}"/>
    <hyperlink ref="H27" r:id="rId4" xr:uid="{97D7BFF7-333E-4B12-927B-34B944EC095F}"/>
    <hyperlink ref="H26" r:id="rId5" xr:uid="{BC19D0E3-3383-4679-B023-7E457B0B02EA}"/>
    <hyperlink ref="H28" r:id="rId6" xr:uid="{B6081177-D2E0-4E62-85B9-42918095D418}"/>
    <hyperlink ref="H6" r:id="rId7" xr:uid="{9BE4EA93-ACA7-45FE-9D89-427330674984}"/>
    <hyperlink ref="H19" r:id="rId8" xr:uid="{9898BE73-E7FA-4924-95AB-CD012FA67E27}"/>
    <hyperlink ref="H18" r:id="rId9" xr:uid="{A22BFAA1-7172-4F69-901C-ED22321DD8BC}"/>
    <hyperlink ref="H17" r:id="rId10" xr:uid="{37445F6E-EDA9-4020-B67B-A351C6038F17}"/>
    <hyperlink ref="H5" r:id="rId11" xr:uid="{FD234D29-DE06-4CB7-A5C5-E26BEA3B2CC8}"/>
    <hyperlink ref="H11" r:id="rId12" xr:uid="{78E2147E-B702-4F7C-BB42-05A3D0C26E64}"/>
    <hyperlink ref="H9" r:id="rId13" xr:uid="{B8CE7C44-3400-4C7C-8189-7947AB5E6A44}"/>
    <hyperlink ref="H13" r:id="rId14" xr:uid="{2F79A62D-ED87-4B87-AD5C-2E2AB4CE0C32}"/>
    <hyperlink ref="H12" r:id="rId15" xr:uid="{410DA390-3BC4-415A-A030-B23D8A6A7718}"/>
    <hyperlink ref="H8" r:id="rId16" xr:uid="{CBF432C8-DE96-48ED-9E96-2F8D391D1FBD}"/>
    <hyperlink ref="H46" r:id="rId17" xr:uid="{26E80869-A8E4-4CE1-A9E0-2BF7D2726375}"/>
    <hyperlink ref="H52" r:id="rId18" xr:uid="{6BBBED78-1534-44D1-81BB-B2879295C512}"/>
    <hyperlink ref="H38" r:id="rId19" xr:uid="{3CB82B66-D9B9-4F89-B95E-72D0612707F0}"/>
    <hyperlink ref="H49" r:id="rId20" xr:uid="{9DBF91C3-1A2E-4786-8279-7B7F880E6BD1}"/>
    <hyperlink ref="H36" r:id="rId21" xr:uid="{53A756DE-A139-43E9-9659-AFF224B94458}"/>
    <hyperlink ref="H37" r:id="rId22" xr:uid="{B295E16A-6381-4692-BCE9-2A485417980F}"/>
    <hyperlink ref="H32" r:id="rId23" xr:uid="{D6D76065-9B9A-4A00-80E1-08C04C934115}"/>
    <hyperlink ref="H14" r:id="rId24" xr:uid="{1790C116-A725-4159-8A7A-74784854D276}"/>
    <hyperlink ref="H16" r:id="rId25" xr:uid="{A8C5D91C-BEEB-46F4-8DAF-10DB770E06EF}"/>
    <hyperlink ref="H21" r:id="rId26" xr:uid="{5989A9D3-8FF2-4029-86BA-699A3745569B}"/>
    <hyperlink ref="H15" r:id="rId27" xr:uid="{DA282207-22EA-42B8-9E76-9944B5AD9ED2}"/>
    <hyperlink ref="H20" r:id="rId28" xr:uid="{037D9C4B-E91A-4766-B4F1-B84315C3E188}"/>
    <hyperlink ref="H22" r:id="rId29" xr:uid="{84D9C7F4-E4AD-4C4A-A534-AFFC2C766E75}"/>
    <hyperlink ref="H25" r:id="rId30" xr:uid="{F9720809-6CD8-414A-A03C-46600EF3AB24}"/>
  </hyperlinks>
  <pageMargins left="0.7" right="0.7" top="0.75" bottom="0.75" header="0.3" footer="0.3"/>
  <tableParts count="1"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781C-ABAE-4FD1-B1D1-0F718DBF887A}">
  <dimension ref="A1:H82"/>
  <sheetViews>
    <sheetView topLeftCell="A8" workbookViewId="0"/>
  </sheetViews>
  <sheetFormatPr baseColWidth="10" defaultRowHeight="14.25" x14ac:dyDescent="0.45"/>
  <cols>
    <col min="1" max="1" width="80.53125" bestFit="1" customWidth="1"/>
    <col min="2" max="2" width="5.86328125" bestFit="1" customWidth="1"/>
    <col min="3" max="3" width="18.33203125" bestFit="1" customWidth="1"/>
    <col min="4" max="4" width="6.3984375" bestFit="1" customWidth="1"/>
    <col min="5" max="5" width="18.1328125" bestFit="1" customWidth="1"/>
    <col min="6" max="6" width="18.86328125" bestFit="1" customWidth="1"/>
    <col min="7" max="7" width="54.73046875" bestFit="1" customWidth="1"/>
    <col min="8" max="8" width="80.53125" bestFit="1" customWidth="1"/>
  </cols>
  <sheetData>
    <row r="1" spans="1:8" x14ac:dyDescent="0.45">
      <c r="A1" t="s">
        <v>184</v>
      </c>
      <c r="B1" t="s">
        <v>185</v>
      </c>
      <c r="C1" t="s">
        <v>0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</row>
    <row r="2" spans="1:8" x14ac:dyDescent="0.45">
      <c r="A2" t="s">
        <v>191</v>
      </c>
      <c r="B2">
        <v>12</v>
      </c>
      <c r="C2" t="s">
        <v>133</v>
      </c>
      <c r="D2" t="s">
        <v>192</v>
      </c>
      <c r="E2" t="s">
        <v>192</v>
      </c>
      <c r="F2" t="s">
        <v>192</v>
      </c>
      <c r="G2" t="s">
        <v>193</v>
      </c>
      <c r="H2" t="s">
        <v>194</v>
      </c>
    </row>
    <row r="3" spans="1:8" x14ac:dyDescent="0.45">
      <c r="A3" t="s">
        <v>195</v>
      </c>
      <c r="B3">
        <v>3</v>
      </c>
      <c r="C3" t="s">
        <v>54</v>
      </c>
      <c r="D3" t="s">
        <v>192</v>
      </c>
      <c r="E3" t="s">
        <v>192</v>
      </c>
      <c r="F3" t="s">
        <v>192</v>
      </c>
      <c r="G3" t="s">
        <v>193</v>
      </c>
      <c r="H3" t="s">
        <v>194</v>
      </c>
    </row>
    <row r="4" spans="1:8" x14ac:dyDescent="0.45">
      <c r="A4" t="s">
        <v>196</v>
      </c>
      <c r="B4">
        <v>8</v>
      </c>
      <c r="C4" t="s">
        <v>53</v>
      </c>
      <c r="D4" t="s">
        <v>192</v>
      </c>
      <c r="E4" t="s">
        <v>192</v>
      </c>
      <c r="F4" t="s">
        <v>192</v>
      </c>
      <c r="G4" t="s">
        <v>197</v>
      </c>
      <c r="H4" t="s">
        <v>194</v>
      </c>
    </row>
    <row r="5" spans="1:8" x14ac:dyDescent="0.45">
      <c r="A5" t="s">
        <v>198</v>
      </c>
      <c r="B5">
        <v>2</v>
      </c>
      <c r="C5" t="s">
        <v>2</v>
      </c>
      <c r="D5" t="s">
        <v>192</v>
      </c>
      <c r="E5" t="s">
        <v>192</v>
      </c>
      <c r="F5" t="s">
        <v>192</v>
      </c>
      <c r="G5" t="s">
        <v>199</v>
      </c>
      <c r="H5" t="s">
        <v>194</v>
      </c>
    </row>
    <row r="6" spans="1:8" x14ac:dyDescent="0.45">
      <c r="A6" t="s">
        <v>200</v>
      </c>
      <c r="B6">
        <v>9</v>
      </c>
      <c r="C6" t="s">
        <v>8</v>
      </c>
      <c r="D6" t="s">
        <v>192</v>
      </c>
      <c r="E6" t="s">
        <v>192</v>
      </c>
      <c r="F6" t="s">
        <v>192</v>
      </c>
      <c r="G6" t="s">
        <v>201</v>
      </c>
      <c r="H6" t="s">
        <v>194</v>
      </c>
    </row>
    <row r="7" spans="1:8" x14ac:dyDescent="0.45">
      <c r="A7" t="s">
        <v>202</v>
      </c>
      <c r="B7">
        <v>2</v>
      </c>
      <c r="C7" t="s">
        <v>3</v>
      </c>
      <c r="D7" t="s">
        <v>192</v>
      </c>
      <c r="E7" t="s">
        <v>192</v>
      </c>
      <c r="F7" t="s">
        <v>192</v>
      </c>
      <c r="G7" t="s">
        <v>199</v>
      </c>
      <c r="H7" t="s">
        <v>194</v>
      </c>
    </row>
    <row r="8" spans="1:8" x14ac:dyDescent="0.45">
      <c r="A8" t="s">
        <v>203</v>
      </c>
      <c r="B8">
        <v>2</v>
      </c>
      <c r="C8" t="s">
        <v>1</v>
      </c>
      <c r="D8" t="s">
        <v>192</v>
      </c>
      <c r="E8" t="s">
        <v>192</v>
      </c>
      <c r="F8" t="s">
        <v>192</v>
      </c>
      <c r="G8" t="s">
        <v>193</v>
      </c>
      <c r="H8" t="s">
        <v>194</v>
      </c>
    </row>
    <row r="9" spans="1:8" x14ac:dyDescent="0.45">
      <c r="A9" t="s">
        <v>204</v>
      </c>
      <c r="B9">
        <v>1</v>
      </c>
      <c r="C9" t="s">
        <v>205</v>
      </c>
      <c r="D9" t="s">
        <v>192</v>
      </c>
      <c r="E9" t="s">
        <v>192</v>
      </c>
      <c r="F9" t="s">
        <v>192</v>
      </c>
      <c r="G9" t="s">
        <v>192</v>
      </c>
      <c r="H9" t="s">
        <v>194</v>
      </c>
    </row>
    <row r="10" spans="1:8" x14ac:dyDescent="0.45">
      <c r="A10" t="s">
        <v>206</v>
      </c>
      <c r="B10">
        <v>4</v>
      </c>
      <c r="C10" t="s">
        <v>4</v>
      </c>
      <c r="D10" t="s">
        <v>192</v>
      </c>
      <c r="E10" t="s">
        <v>192</v>
      </c>
      <c r="F10" t="s">
        <v>192</v>
      </c>
      <c r="G10" t="s">
        <v>207</v>
      </c>
      <c r="H10" t="s">
        <v>194</v>
      </c>
    </row>
    <row r="11" spans="1:8" x14ac:dyDescent="0.45">
      <c r="A11" t="s">
        <v>208</v>
      </c>
      <c r="B11">
        <v>1</v>
      </c>
      <c r="C11" t="s">
        <v>55</v>
      </c>
      <c r="D11" t="s">
        <v>192</v>
      </c>
      <c r="E11" t="s">
        <v>192</v>
      </c>
      <c r="F11" t="s">
        <v>192</v>
      </c>
      <c r="G11" t="s">
        <v>209</v>
      </c>
      <c r="H11" t="s">
        <v>194</v>
      </c>
    </row>
    <row r="12" spans="1:8" x14ac:dyDescent="0.45">
      <c r="A12" t="s">
        <v>210</v>
      </c>
      <c r="B12">
        <v>1</v>
      </c>
      <c r="C12" t="s">
        <v>1</v>
      </c>
      <c r="D12" t="s">
        <v>192</v>
      </c>
      <c r="E12" t="s">
        <v>192</v>
      </c>
      <c r="F12" t="s">
        <v>192</v>
      </c>
      <c r="G12" t="s">
        <v>211</v>
      </c>
      <c r="H12" t="s">
        <v>194</v>
      </c>
    </row>
    <row r="13" spans="1:8" x14ac:dyDescent="0.45">
      <c r="A13" t="s">
        <v>212</v>
      </c>
      <c r="B13">
        <v>2</v>
      </c>
      <c r="C13" t="s">
        <v>5</v>
      </c>
      <c r="D13" t="s">
        <v>192</v>
      </c>
      <c r="E13" t="s">
        <v>192</v>
      </c>
      <c r="F13" t="s">
        <v>192</v>
      </c>
      <c r="G13" t="s">
        <v>213</v>
      </c>
      <c r="H13" t="s">
        <v>194</v>
      </c>
    </row>
    <row r="14" spans="1:8" x14ac:dyDescent="0.45">
      <c r="A14" t="s">
        <v>214</v>
      </c>
      <c r="B14">
        <v>2</v>
      </c>
      <c r="C14" t="s">
        <v>6</v>
      </c>
      <c r="D14" t="s">
        <v>192</v>
      </c>
      <c r="E14" t="s">
        <v>192</v>
      </c>
      <c r="F14" t="s">
        <v>192</v>
      </c>
      <c r="G14" t="s">
        <v>199</v>
      </c>
      <c r="H14" t="s">
        <v>194</v>
      </c>
    </row>
    <row r="15" spans="1:8" x14ac:dyDescent="0.45">
      <c r="A15" t="s">
        <v>215</v>
      </c>
      <c r="B15">
        <v>2</v>
      </c>
      <c r="C15" t="s">
        <v>7</v>
      </c>
      <c r="D15" t="s">
        <v>192</v>
      </c>
      <c r="E15" t="s">
        <v>192</v>
      </c>
      <c r="F15" t="s">
        <v>192</v>
      </c>
      <c r="G15" t="s">
        <v>211</v>
      </c>
      <c r="H15" t="s">
        <v>194</v>
      </c>
    </row>
    <row r="16" spans="1:8" x14ac:dyDescent="0.45">
      <c r="A16" t="s">
        <v>216</v>
      </c>
      <c r="B16">
        <v>1</v>
      </c>
      <c r="C16" t="s">
        <v>56</v>
      </c>
      <c r="D16" t="s">
        <v>192</v>
      </c>
      <c r="E16" t="s">
        <v>192</v>
      </c>
      <c r="F16" t="s">
        <v>192</v>
      </c>
      <c r="G16" t="s">
        <v>199</v>
      </c>
      <c r="H16" t="s">
        <v>194</v>
      </c>
    </row>
    <row r="17" spans="1:8" x14ac:dyDescent="0.45">
      <c r="A17" t="s">
        <v>217</v>
      </c>
      <c r="B17">
        <v>4</v>
      </c>
      <c r="C17" t="s">
        <v>9</v>
      </c>
      <c r="D17" t="s">
        <v>192</v>
      </c>
      <c r="E17" t="s">
        <v>192</v>
      </c>
      <c r="F17" t="s">
        <v>192</v>
      </c>
      <c r="G17" t="s">
        <v>218</v>
      </c>
      <c r="H17" t="s">
        <v>219</v>
      </c>
    </row>
    <row r="18" spans="1:8" x14ac:dyDescent="0.45">
      <c r="A18" t="s">
        <v>220</v>
      </c>
      <c r="B18">
        <v>2</v>
      </c>
      <c r="C18" t="s">
        <v>10</v>
      </c>
      <c r="D18" t="s">
        <v>192</v>
      </c>
      <c r="E18" t="s">
        <v>192</v>
      </c>
      <c r="F18" t="s">
        <v>192</v>
      </c>
      <c r="G18" t="s">
        <v>221</v>
      </c>
      <c r="H18" t="s">
        <v>222</v>
      </c>
    </row>
    <row r="19" spans="1:8" x14ac:dyDescent="0.45">
      <c r="A19" t="s">
        <v>223</v>
      </c>
      <c r="B19">
        <v>5</v>
      </c>
      <c r="C19" t="s">
        <v>11</v>
      </c>
      <c r="D19" t="s">
        <v>192</v>
      </c>
      <c r="E19" t="s">
        <v>192</v>
      </c>
      <c r="F19" t="s">
        <v>192</v>
      </c>
      <c r="G19" t="s">
        <v>224</v>
      </c>
      <c r="H19" t="s">
        <v>194</v>
      </c>
    </row>
    <row r="20" spans="1:8" x14ac:dyDescent="0.45">
      <c r="A20" t="s">
        <v>225</v>
      </c>
      <c r="B20">
        <v>1</v>
      </c>
      <c r="C20" t="s">
        <v>12</v>
      </c>
      <c r="D20" t="s">
        <v>192</v>
      </c>
      <c r="E20" t="s">
        <v>192</v>
      </c>
      <c r="F20" t="s">
        <v>192</v>
      </c>
      <c r="G20" t="s">
        <v>224</v>
      </c>
      <c r="H20" t="s">
        <v>194</v>
      </c>
    </row>
    <row r="21" spans="1:8" x14ac:dyDescent="0.45">
      <c r="A21" t="s">
        <v>226</v>
      </c>
      <c r="B21">
        <v>1</v>
      </c>
      <c r="C21" t="s">
        <v>13</v>
      </c>
      <c r="D21" t="s">
        <v>192</v>
      </c>
      <c r="E21" t="s">
        <v>192</v>
      </c>
      <c r="F21" t="s">
        <v>192</v>
      </c>
      <c r="G21" t="s">
        <v>224</v>
      </c>
      <c r="H21" t="s">
        <v>194</v>
      </c>
    </row>
    <row r="22" spans="1:8" x14ac:dyDescent="0.45">
      <c r="A22" t="s">
        <v>227</v>
      </c>
      <c r="B22">
        <v>2</v>
      </c>
      <c r="C22" t="s">
        <v>14</v>
      </c>
      <c r="D22" t="s">
        <v>192</v>
      </c>
      <c r="E22" t="s">
        <v>192</v>
      </c>
      <c r="F22" t="s">
        <v>192</v>
      </c>
      <c r="G22" t="s">
        <v>228</v>
      </c>
      <c r="H22" t="s">
        <v>229</v>
      </c>
    </row>
    <row r="23" spans="1:8" x14ac:dyDescent="0.45">
      <c r="A23" t="s">
        <v>230</v>
      </c>
      <c r="B23">
        <v>1</v>
      </c>
      <c r="C23" t="s">
        <v>15</v>
      </c>
      <c r="D23" t="s">
        <v>192</v>
      </c>
      <c r="E23" t="s">
        <v>192</v>
      </c>
      <c r="F23" t="s">
        <v>192</v>
      </c>
      <c r="G23" t="s">
        <v>231</v>
      </c>
      <c r="H23" t="s">
        <v>194</v>
      </c>
    </row>
    <row r="24" spans="1:8" x14ac:dyDescent="0.45">
      <c r="A24" t="s">
        <v>232</v>
      </c>
      <c r="B24">
        <v>2</v>
      </c>
      <c r="C24" t="s">
        <v>16</v>
      </c>
      <c r="D24" t="s">
        <v>192</v>
      </c>
      <c r="E24" t="s">
        <v>192</v>
      </c>
      <c r="F24" t="s">
        <v>192</v>
      </c>
      <c r="G24" t="s">
        <v>233</v>
      </c>
      <c r="H24" t="s">
        <v>234</v>
      </c>
    </row>
    <row r="25" spans="1:8" x14ac:dyDescent="0.45">
      <c r="A25" t="s">
        <v>235</v>
      </c>
      <c r="B25">
        <v>1</v>
      </c>
      <c r="C25" t="s">
        <v>17</v>
      </c>
      <c r="D25" t="s">
        <v>192</v>
      </c>
      <c r="E25" t="s">
        <v>192</v>
      </c>
      <c r="F25" t="s">
        <v>192</v>
      </c>
      <c r="G25" t="s">
        <v>236</v>
      </c>
      <c r="H25" t="s">
        <v>237</v>
      </c>
    </row>
    <row r="26" spans="1:8" x14ac:dyDescent="0.45">
      <c r="A26" t="s">
        <v>238</v>
      </c>
      <c r="B26">
        <v>2</v>
      </c>
      <c r="C26" t="s">
        <v>18</v>
      </c>
      <c r="D26" t="s">
        <v>192</v>
      </c>
      <c r="E26" t="s">
        <v>192</v>
      </c>
      <c r="F26" t="s">
        <v>192</v>
      </c>
      <c r="G26" t="s">
        <v>239</v>
      </c>
      <c r="H26" t="s">
        <v>240</v>
      </c>
    </row>
    <row r="27" spans="1:8" x14ac:dyDescent="0.45">
      <c r="A27" t="s">
        <v>241</v>
      </c>
      <c r="B27">
        <v>1</v>
      </c>
      <c r="C27" t="s">
        <v>57</v>
      </c>
      <c r="D27" t="s">
        <v>192</v>
      </c>
      <c r="E27" t="s">
        <v>192</v>
      </c>
      <c r="F27" t="s">
        <v>192</v>
      </c>
      <c r="G27" t="s">
        <v>239</v>
      </c>
      <c r="H27" t="s">
        <v>242</v>
      </c>
    </row>
    <row r="28" spans="1:8" x14ac:dyDescent="0.45">
      <c r="A28" t="s">
        <v>243</v>
      </c>
      <c r="B28">
        <v>1</v>
      </c>
      <c r="C28" t="s">
        <v>52</v>
      </c>
      <c r="D28" t="s">
        <v>192</v>
      </c>
      <c r="E28" t="s">
        <v>192</v>
      </c>
      <c r="F28" t="s">
        <v>192</v>
      </c>
      <c r="G28" t="s">
        <v>244</v>
      </c>
      <c r="H28" t="s">
        <v>245</v>
      </c>
    </row>
    <row r="29" spans="1:8" x14ac:dyDescent="0.45">
      <c r="A29" t="s">
        <v>246</v>
      </c>
      <c r="B29">
        <v>1</v>
      </c>
      <c r="C29" t="s">
        <v>49</v>
      </c>
      <c r="D29" t="s">
        <v>192</v>
      </c>
      <c r="E29" t="s">
        <v>192</v>
      </c>
      <c r="F29" t="s">
        <v>192</v>
      </c>
      <c r="G29" t="s">
        <v>247</v>
      </c>
      <c r="H29" t="s">
        <v>248</v>
      </c>
    </row>
    <row r="30" spans="1:8" x14ac:dyDescent="0.45">
      <c r="A30" t="s">
        <v>249</v>
      </c>
      <c r="B30">
        <v>1</v>
      </c>
      <c r="C30" t="s">
        <v>19</v>
      </c>
      <c r="D30" t="s">
        <v>192</v>
      </c>
      <c r="E30" t="s">
        <v>192</v>
      </c>
      <c r="F30" t="s">
        <v>192</v>
      </c>
      <c r="G30" t="s">
        <v>250</v>
      </c>
      <c r="H30" t="s">
        <v>251</v>
      </c>
    </row>
    <row r="31" spans="1:8" x14ac:dyDescent="0.45">
      <c r="A31" t="s">
        <v>252</v>
      </c>
      <c r="B31">
        <v>1</v>
      </c>
      <c r="C31" t="s">
        <v>20</v>
      </c>
      <c r="D31" t="s">
        <v>192</v>
      </c>
      <c r="E31" t="s">
        <v>192</v>
      </c>
      <c r="F31" t="s">
        <v>192</v>
      </c>
      <c r="G31" t="s">
        <v>253</v>
      </c>
      <c r="H31" t="s">
        <v>254</v>
      </c>
    </row>
    <row r="32" spans="1:8" x14ac:dyDescent="0.45">
      <c r="A32" t="s">
        <v>255</v>
      </c>
      <c r="B32">
        <v>1</v>
      </c>
      <c r="C32" t="s">
        <v>44</v>
      </c>
      <c r="D32" t="s">
        <v>192</v>
      </c>
      <c r="E32" t="s">
        <v>192</v>
      </c>
      <c r="F32" t="s">
        <v>192</v>
      </c>
      <c r="G32" t="s">
        <v>256</v>
      </c>
      <c r="H32" t="s">
        <v>257</v>
      </c>
    </row>
    <row r="33" spans="1:8" x14ac:dyDescent="0.45">
      <c r="A33" t="s">
        <v>258</v>
      </c>
      <c r="B33">
        <v>1</v>
      </c>
      <c r="C33" t="s">
        <v>105</v>
      </c>
      <c r="D33" t="s">
        <v>192</v>
      </c>
      <c r="E33" t="s">
        <v>192</v>
      </c>
      <c r="F33" t="s">
        <v>192</v>
      </c>
      <c r="G33" t="s">
        <v>259</v>
      </c>
      <c r="H33" t="s">
        <v>260</v>
      </c>
    </row>
    <row r="34" spans="1:8" x14ac:dyDescent="0.45">
      <c r="A34" t="s">
        <v>261</v>
      </c>
      <c r="B34">
        <v>1</v>
      </c>
      <c r="C34" t="s">
        <v>262</v>
      </c>
      <c r="D34" t="s">
        <v>192</v>
      </c>
      <c r="E34" t="s">
        <v>192</v>
      </c>
      <c r="F34" t="s">
        <v>192</v>
      </c>
      <c r="G34" t="s">
        <v>263</v>
      </c>
      <c r="H34" t="s">
        <v>194</v>
      </c>
    </row>
    <row r="35" spans="1:8" x14ac:dyDescent="0.45">
      <c r="A35" t="s">
        <v>264</v>
      </c>
      <c r="B35">
        <v>1</v>
      </c>
      <c r="C35" t="s">
        <v>265</v>
      </c>
      <c r="D35" t="s">
        <v>192</v>
      </c>
      <c r="E35" t="s">
        <v>192</v>
      </c>
      <c r="F35" t="s">
        <v>192</v>
      </c>
      <c r="G35" t="s">
        <v>266</v>
      </c>
      <c r="H35" t="s">
        <v>194</v>
      </c>
    </row>
    <row r="36" spans="1:8" x14ac:dyDescent="0.45">
      <c r="A36" t="s">
        <v>267</v>
      </c>
      <c r="B36">
        <v>1</v>
      </c>
      <c r="C36" t="s">
        <v>268</v>
      </c>
      <c r="D36" t="s">
        <v>192</v>
      </c>
      <c r="E36" t="s">
        <v>192</v>
      </c>
      <c r="F36" t="s">
        <v>192</v>
      </c>
      <c r="G36" t="s">
        <v>266</v>
      </c>
      <c r="H36" t="s">
        <v>194</v>
      </c>
    </row>
    <row r="37" spans="1:8" x14ac:dyDescent="0.45">
      <c r="A37" t="s">
        <v>269</v>
      </c>
      <c r="B37">
        <v>1</v>
      </c>
      <c r="C37" t="s">
        <v>270</v>
      </c>
      <c r="D37" t="s">
        <v>192</v>
      </c>
      <c r="E37" t="s">
        <v>192</v>
      </c>
      <c r="F37" t="s">
        <v>192</v>
      </c>
      <c r="G37" t="s">
        <v>271</v>
      </c>
      <c r="H37" t="s">
        <v>194</v>
      </c>
    </row>
    <row r="38" spans="1:8" x14ac:dyDescent="0.45">
      <c r="A38" t="s">
        <v>272</v>
      </c>
      <c r="B38">
        <v>1</v>
      </c>
      <c r="C38" t="s">
        <v>273</v>
      </c>
      <c r="D38" t="s">
        <v>192</v>
      </c>
      <c r="E38" t="s">
        <v>192</v>
      </c>
      <c r="F38" t="s">
        <v>192</v>
      </c>
      <c r="G38" t="s">
        <v>274</v>
      </c>
      <c r="H38" t="s">
        <v>275</v>
      </c>
    </row>
    <row r="39" spans="1:8" x14ac:dyDescent="0.45">
      <c r="A39" t="s">
        <v>276</v>
      </c>
      <c r="B39">
        <v>1</v>
      </c>
      <c r="C39" t="s">
        <v>21</v>
      </c>
      <c r="D39" t="s">
        <v>192</v>
      </c>
      <c r="E39" t="s">
        <v>192</v>
      </c>
      <c r="F39" t="s">
        <v>192</v>
      </c>
      <c r="G39" t="s">
        <v>277</v>
      </c>
      <c r="H39" t="s">
        <v>194</v>
      </c>
    </row>
    <row r="40" spans="1:8" x14ac:dyDescent="0.45">
      <c r="A40" t="s">
        <v>278</v>
      </c>
      <c r="B40">
        <v>1</v>
      </c>
      <c r="C40" t="s">
        <v>279</v>
      </c>
      <c r="D40" t="s">
        <v>192</v>
      </c>
      <c r="E40" t="s">
        <v>192</v>
      </c>
      <c r="F40" t="s">
        <v>192</v>
      </c>
      <c r="G40" t="s">
        <v>266</v>
      </c>
      <c r="H40" t="s">
        <v>194</v>
      </c>
    </row>
    <row r="41" spans="1:8" x14ac:dyDescent="0.45">
      <c r="A41" t="s">
        <v>280</v>
      </c>
      <c r="B41">
        <v>1</v>
      </c>
      <c r="C41" t="s">
        <v>281</v>
      </c>
      <c r="D41" t="s">
        <v>192</v>
      </c>
      <c r="E41" t="s">
        <v>192</v>
      </c>
      <c r="F41" t="s">
        <v>192</v>
      </c>
      <c r="G41" t="s">
        <v>263</v>
      </c>
      <c r="H41" t="s">
        <v>194</v>
      </c>
    </row>
    <row r="42" spans="1:8" x14ac:dyDescent="0.45">
      <c r="A42" t="s">
        <v>282</v>
      </c>
      <c r="B42">
        <v>1</v>
      </c>
      <c r="C42" t="s">
        <v>283</v>
      </c>
      <c r="D42" t="s">
        <v>192</v>
      </c>
      <c r="E42" t="s">
        <v>192</v>
      </c>
      <c r="F42" t="s">
        <v>192</v>
      </c>
      <c r="G42" t="s">
        <v>263</v>
      </c>
      <c r="H42" t="s">
        <v>194</v>
      </c>
    </row>
    <row r="43" spans="1:8" x14ac:dyDescent="0.45">
      <c r="A43" t="s">
        <v>284</v>
      </c>
      <c r="B43">
        <v>1</v>
      </c>
      <c r="C43" t="s">
        <v>285</v>
      </c>
      <c r="D43" t="s">
        <v>192</v>
      </c>
      <c r="E43" t="s">
        <v>192</v>
      </c>
      <c r="F43" t="s">
        <v>192</v>
      </c>
      <c r="G43" t="s">
        <v>263</v>
      </c>
      <c r="H43" t="s">
        <v>194</v>
      </c>
    </row>
    <row r="44" spans="1:8" x14ac:dyDescent="0.45">
      <c r="A44" t="s">
        <v>286</v>
      </c>
      <c r="B44">
        <v>1</v>
      </c>
      <c r="C44" t="s">
        <v>287</v>
      </c>
      <c r="D44" t="s">
        <v>192</v>
      </c>
      <c r="E44" t="s">
        <v>192</v>
      </c>
      <c r="F44" t="s">
        <v>192</v>
      </c>
      <c r="G44" t="s">
        <v>263</v>
      </c>
      <c r="H44" t="s">
        <v>194</v>
      </c>
    </row>
    <row r="45" spans="1:8" x14ac:dyDescent="0.45">
      <c r="A45" t="s">
        <v>288</v>
      </c>
      <c r="B45">
        <v>1</v>
      </c>
      <c r="C45" t="s">
        <v>289</v>
      </c>
      <c r="D45" t="s">
        <v>192</v>
      </c>
      <c r="E45" t="s">
        <v>192</v>
      </c>
      <c r="F45" t="s">
        <v>192</v>
      </c>
      <c r="G45" t="s">
        <v>263</v>
      </c>
      <c r="H45" t="s">
        <v>194</v>
      </c>
    </row>
    <row r="46" spans="1:8" x14ac:dyDescent="0.45">
      <c r="A46" t="s">
        <v>290</v>
      </c>
      <c r="B46">
        <v>1</v>
      </c>
      <c r="C46" t="s">
        <v>291</v>
      </c>
      <c r="D46" t="s">
        <v>192</v>
      </c>
      <c r="E46" t="s">
        <v>192</v>
      </c>
      <c r="F46" t="s">
        <v>192</v>
      </c>
      <c r="G46" t="s">
        <v>263</v>
      </c>
      <c r="H46" t="s">
        <v>194</v>
      </c>
    </row>
    <row r="47" spans="1:8" x14ac:dyDescent="0.45">
      <c r="A47" t="s">
        <v>292</v>
      </c>
      <c r="B47">
        <v>1</v>
      </c>
      <c r="C47" t="s">
        <v>293</v>
      </c>
      <c r="D47" t="s">
        <v>192</v>
      </c>
      <c r="E47" t="s">
        <v>192</v>
      </c>
      <c r="F47" t="s">
        <v>192</v>
      </c>
      <c r="G47" t="s">
        <v>263</v>
      </c>
      <c r="H47" t="s">
        <v>194</v>
      </c>
    </row>
    <row r="48" spans="1:8" x14ac:dyDescent="0.45">
      <c r="A48" t="s">
        <v>294</v>
      </c>
      <c r="B48">
        <v>1</v>
      </c>
      <c r="C48" t="s">
        <v>295</v>
      </c>
      <c r="D48" t="s">
        <v>192</v>
      </c>
      <c r="E48" t="s">
        <v>192</v>
      </c>
      <c r="F48" t="s">
        <v>192</v>
      </c>
      <c r="G48" t="s">
        <v>263</v>
      </c>
      <c r="H48" t="s">
        <v>194</v>
      </c>
    </row>
    <row r="49" spans="1:8" x14ac:dyDescent="0.45">
      <c r="A49" t="s">
        <v>296</v>
      </c>
      <c r="B49">
        <v>1</v>
      </c>
      <c r="C49" t="s">
        <v>297</v>
      </c>
      <c r="D49" t="s">
        <v>192</v>
      </c>
      <c r="E49" t="s">
        <v>192</v>
      </c>
      <c r="F49" t="s">
        <v>192</v>
      </c>
      <c r="G49" t="s">
        <v>263</v>
      </c>
      <c r="H49" t="s">
        <v>194</v>
      </c>
    </row>
    <row r="50" spans="1:8" x14ac:dyDescent="0.45">
      <c r="A50" t="s">
        <v>298</v>
      </c>
      <c r="B50">
        <v>1</v>
      </c>
      <c r="C50" t="s">
        <v>299</v>
      </c>
      <c r="D50" t="s">
        <v>192</v>
      </c>
      <c r="E50" t="s">
        <v>192</v>
      </c>
      <c r="F50" t="s">
        <v>192</v>
      </c>
      <c r="G50" t="s">
        <v>263</v>
      </c>
      <c r="H50" t="s">
        <v>194</v>
      </c>
    </row>
    <row r="51" spans="1:8" x14ac:dyDescent="0.45">
      <c r="A51" t="s">
        <v>300</v>
      </c>
      <c r="B51">
        <v>1</v>
      </c>
      <c r="C51" t="s">
        <v>301</v>
      </c>
      <c r="D51" t="s">
        <v>192</v>
      </c>
      <c r="E51" t="s">
        <v>192</v>
      </c>
      <c r="F51" t="s">
        <v>192</v>
      </c>
      <c r="G51" t="s">
        <v>302</v>
      </c>
      <c r="H51" t="s">
        <v>194</v>
      </c>
    </row>
    <row r="52" spans="1:8" x14ac:dyDescent="0.45">
      <c r="A52" t="s">
        <v>303</v>
      </c>
      <c r="B52">
        <v>1</v>
      </c>
      <c r="C52" t="s">
        <v>304</v>
      </c>
      <c r="D52" t="s">
        <v>192</v>
      </c>
      <c r="E52" t="s">
        <v>192</v>
      </c>
      <c r="F52" t="s">
        <v>192</v>
      </c>
      <c r="G52" t="s">
        <v>263</v>
      </c>
      <c r="H52" t="s">
        <v>194</v>
      </c>
    </row>
    <row r="53" spans="1:8" x14ac:dyDescent="0.45">
      <c r="A53" t="s">
        <v>305</v>
      </c>
      <c r="B53">
        <v>1</v>
      </c>
      <c r="C53" t="s">
        <v>306</v>
      </c>
      <c r="D53" t="s">
        <v>192</v>
      </c>
      <c r="E53" t="s">
        <v>192</v>
      </c>
      <c r="F53" t="s">
        <v>192</v>
      </c>
      <c r="G53" t="s">
        <v>263</v>
      </c>
      <c r="H53" t="s">
        <v>194</v>
      </c>
    </row>
    <row r="54" spans="1:8" x14ac:dyDescent="0.45">
      <c r="A54" t="s">
        <v>307</v>
      </c>
      <c r="B54">
        <v>1</v>
      </c>
      <c r="C54" t="s">
        <v>308</v>
      </c>
      <c r="D54" t="s">
        <v>192</v>
      </c>
      <c r="E54" t="s">
        <v>192</v>
      </c>
      <c r="F54" t="s">
        <v>192</v>
      </c>
      <c r="G54" t="s">
        <v>263</v>
      </c>
      <c r="H54" t="s">
        <v>194</v>
      </c>
    </row>
    <row r="55" spans="1:8" x14ac:dyDescent="0.45">
      <c r="A55" t="s">
        <v>309</v>
      </c>
      <c r="B55">
        <v>1</v>
      </c>
      <c r="C55" t="s">
        <v>310</v>
      </c>
      <c r="D55" t="s">
        <v>192</v>
      </c>
      <c r="E55" t="s">
        <v>192</v>
      </c>
      <c r="F55" t="s">
        <v>192</v>
      </c>
      <c r="G55" t="s">
        <v>302</v>
      </c>
      <c r="H55" t="s">
        <v>194</v>
      </c>
    </row>
    <row r="56" spans="1:8" x14ac:dyDescent="0.45">
      <c r="A56" t="s">
        <v>311</v>
      </c>
      <c r="B56">
        <v>1</v>
      </c>
      <c r="C56" t="s">
        <v>22</v>
      </c>
      <c r="D56" t="s">
        <v>192</v>
      </c>
      <c r="E56" t="s">
        <v>192</v>
      </c>
      <c r="F56" t="s">
        <v>192</v>
      </c>
      <c r="G56" t="s">
        <v>312</v>
      </c>
      <c r="H56" t="s">
        <v>194</v>
      </c>
    </row>
    <row r="57" spans="1:8" x14ac:dyDescent="0.45">
      <c r="A57" t="s">
        <v>313</v>
      </c>
      <c r="B57">
        <v>1</v>
      </c>
      <c r="C57" t="s">
        <v>58</v>
      </c>
      <c r="D57" t="s">
        <v>192</v>
      </c>
      <c r="E57" t="s">
        <v>192</v>
      </c>
      <c r="F57" t="s">
        <v>192</v>
      </c>
      <c r="G57" t="s">
        <v>314</v>
      </c>
      <c r="H57" t="s">
        <v>194</v>
      </c>
    </row>
    <row r="58" spans="1:8" x14ac:dyDescent="0.45">
      <c r="A58" t="s">
        <v>315</v>
      </c>
      <c r="B58">
        <v>2</v>
      </c>
      <c r="C58" t="s">
        <v>23</v>
      </c>
      <c r="D58" t="s">
        <v>192</v>
      </c>
      <c r="E58" t="s">
        <v>192</v>
      </c>
      <c r="F58" t="s">
        <v>192</v>
      </c>
      <c r="G58" t="s">
        <v>316</v>
      </c>
      <c r="H58" t="s">
        <v>317</v>
      </c>
    </row>
    <row r="59" spans="1:8" x14ac:dyDescent="0.45">
      <c r="A59" t="s">
        <v>318</v>
      </c>
      <c r="B59">
        <v>1</v>
      </c>
      <c r="C59" t="s">
        <v>24</v>
      </c>
      <c r="D59" t="s">
        <v>192</v>
      </c>
      <c r="E59" t="s">
        <v>192</v>
      </c>
      <c r="F59" t="s">
        <v>192</v>
      </c>
      <c r="G59" t="s">
        <v>319</v>
      </c>
      <c r="H59" t="s">
        <v>194</v>
      </c>
    </row>
    <row r="60" spans="1:8" x14ac:dyDescent="0.45">
      <c r="A60" t="s">
        <v>320</v>
      </c>
      <c r="B60">
        <v>1</v>
      </c>
      <c r="C60" t="s">
        <v>25</v>
      </c>
      <c r="D60" t="s">
        <v>192</v>
      </c>
      <c r="E60" t="s">
        <v>192</v>
      </c>
      <c r="F60" t="s">
        <v>192</v>
      </c>
      <c r="G60" t="s">
        <v>321</v>
      </c>
      <c r="H60" t="s">
        <v>194</v>
      </c>
    </row>
    <row r="61" spans="1:8" x14ac:dyDescent="0.45">
      <c r="A61" t="s">
        <v>322</v>
      </c>
      <c r="B61">
        <v>2</v>
      </c>
      <c r="C61" t="s">
        <v>26</v>
      </c>
      <c r="D61" t="s">
        <v>192</v>
      </c>
      <c r="E61" t="s">
        <v>192</v>
      </c>
      <c r="F61" t="s">
        <v>192</v>
      </c>
      <c r="G61" t="s">
        <v>321</v>
      </c>
      <c r="H61" t="s">
        <v>194</v>
      </c>
    </row>
    <row r="62" spans="1:8" x14ac:dyDescent="0.45">
      <c r="A62" t="s">
        <v>323</v>
      </c>
      <c r="B62">
        <v>1</v>
      </c>
      <c r="C62" t="s">
        <v>27</v>
      </c>
      <c r="D62" t="s">
        <v>192</v>
      </c>
      <c r="E62" t="s">
        <v>192</v>
      </c>
      <c r="F62" t="s">
        <v>192</v>
      </c>
      <c r="G62" t="s">
        <v>319</v>
      </c>
      <c r="H62" t="s">
        <v>194</v>
      </c>
    </row>
    <row r="63" spans="1:8" x14ac:dyDescent="0.45">
      <c r="A63" t="s">
        <v>324</v>
      </c>
      <c r="B63">
        <v>4</v>
      </c>
      <c r="C63" t="s">
        <v>28</v>
      </c>
      <c r="D63" t="s">
        <v>192</v>
      </c>
      <c r="E63" t="s">
        <v>192</v>
      </c>
      <c r="F63" t="s">
        <v>192</v>
      </c>
      <c r="G63" t="s">
        <v>319</v>
      </c>
      <c r="H63" t="s">
        <v>194</v>
      </c>
    </row>
    <row r="64" spans="1:8" x14ac:dyDescent="0.45">
      <c r="A64" t="s">
        <v>325</v>
      </c>
      <c r="B64">
        <v>1</v>
      </c>
      <c r="C64" t="s">
        <v>59</v>
      </c>
      <c r="D64" t="s">
        <v>192</v>
      </c>
      <c r="E64" t="s">
        <v>192</v>
      </c>
      <c r="F64" t="s">
        <v>192</v>
      </c>
      <c r="G64" t="s">
        <v>319</v>
      </c>
      <c r="H64" t="s">
        <v>194</v>
      </c>
    </row>
    <row r="65" spans="1:8" x14ac:dyDescent="0.45">
      <c r="A65" t="s">
        <v>326</v>
      </c>
      <c r="B65">
        <v>3</v>
      </c>
      <c r="C65" t="s">
        <v>26</v>
      </c>
      <c r="D65" t="s">
        <v>192</v>
      </c>
      <c r="E65" t="s">
        <v>192</v>
      </c>
      <c r="F65" t="s">
        <v>192</v>
      </c>
      <c r="G65" t="s">
        <v>319</v>
      </c>
      <c r="H65" t="s">
        <v>194</v>
      </c>
    </row>
    <row r="66" spans="1:8" x14ac:dyDescent="0.45">
      <c r="A66" t="s">
        <v>327</v>
      </c>
      <c r="B66">
        <v>1</v>
      </c>
      <c r="C66" t="s">
        <v>134</v>
      </c>
      <c r="D66" t="s">
        <v>192</v>
      </c>
      <c r="E66" t="s">
        <v>192</v>
      </c>
      <c r="F66" t="s">
        <v>192</v>
      </c>
      <c r="G66" t="s">
        <v>319</v>
      </c>
      <c r="H66" t="s">
        <v>194</v>
      </c>
    </row>
    <row r="67" spans="1:8" x14ac:dyDescent="0.45">
      <c r="A67" t="s">
        <v>328</v>
      </c>
      <c r="B67">
        <v>2</v>
      </c>
      <c r="C67" t="s">
        <v>149</v>
      </c>
      <c r="D67" t="s">
        <v>192</v>
      </c>
      <c r="E67" t="s">
        <v>192</v>
      </c>
      <c r="F67" t="s">
        <v>192</v>
      </c>
      <c r="G67" t="s">
        <v>321</v>
      </c>
      <c r="H67" t="s">
        <v>194</v>
      </c>
    </row>
    <row r="68" spans="1:8" x14ac:dyDescent="0.45">
      <c r="A68" t="s">
        <v>329</v>
      </c>
      <c r="B68">
        <v>25</v>
      </c>
      <c r="C68" t="s">
        <v>29</v>
      </c>
      <c r="D68" t="s">
        <v>192</v>
      </c>
      <c r="E68" t="s">
        <v>192</v>
      </c>
      <c r="F68" t="s">
        <v>192</v>
      </c>
      <c r="G68" t="s">
        <v>319</v>
      </c>
      <c r="H68" t="s">
        <v>194</v>
      </c>
    </row>
    <row r="69" spans="1:8" x14ac:dyDescent="0.45">
      <c r="A69" t="s">
        <v>330</v>
      </c>
      <c r="B69">
        <v>1</v>
      </c>
      <c r="C69" t="s">
        <v>30</v>
      </c>
      <c r="D69" t="s">
        <v>192</v>
      </c>
      <c r="E69" t="s">
        <v>192</v>
      </c>
      <c r="F69" t="s">
        <v>192</v>
      </c>
      <c r="G69" t="s">
        <v>319</v>
      </c>
      <c r="H69" t="s">
        <v>194</v>
      </c>
    </row>
    <row r="70" spans="1:8" x14ac:dyDescent="0.45">
      <c r="A70" t="s">
        <v>331</v>
      </c>
      <c r="B70">
        <v>1</v>
      </c>
      <c r="C70" t="s">
        <v>31</v>
      </c>
      <c r="D70" t="s">
        <v>192</v>
      </c>
      <c r="E70" t="s">
        <v>192</v>
      </c>
      <c r="F70" t="s">
        <v>192</v>
      </c>
      <c r="G70" t="s">
        <v>319</v>
      </c>
      <c r="H70" t="s">
        <v>194</v>
      </c>
    </row>
    <row r="71" spans="1:8" x14ac:dyDescent="0.45">
      <c r="A71" t="s">
        <v>332</v>
      </c>
      <c r="B71">
        <v>4</v>
      </c>
      <c r="C71" t="s">
        <v>25</v>
      </c>
      <c r="D71" t="s">
        <v>192</v>
      </c>
      <c r="E71" t="s">
        <v>192</v>
      </c>
      <c r="F71" t="s">
        <v>192</v>
      </c>
      <c r="G71" t="s">
        <v>319</v>
      </c>
      <c r="H71" t="s">
        <v>194</v>
      </c>
    </row>
    <row r="72" spans="1:8" x14ac:dyDescent="0.45">
      <c r="A72" t="s">
        <v>333</v>
      </c>
      <c r="B72">
        <v>2</v>
      </c>
      <c r="C72" t="s">
        <v>135</v>
      </c>
      <c r="D72" t="s">
        <v>192</v>
      </c>
      <c r="E72" t="s">
        <v>192</v>
      </c>
      <c r="F72" t="s">
        <v>192</v>
      </c>
      <c r="G72" t="s">
        <v>319</v>
      </c>
      <c r="H72" t="s">
        <v>194</v>
      </c>
    </row>
    <row r="73" spans="1:8" x14ac:dyDescent="0.45">
      <c r="A73" t="s">
        <v>334</v>
      </c>
      <c r="B73">
        <v>2</v>
      </c>
      <c r="C73" t="s">
        <v>32</v>
      </c>
      <c r="D73" t="s">
        <v>192</v>
      </c>
      <c r="E73" t="s">
        <v>192</v>
      </c>
      <c r="F73" t="s">
        <v>192</v>
      </c>
      <c r="G73" t="s">
        <v>319</v>
      </c>
      <c r="H73" t="s">
        <v>194</v>
      </c>
    </row>
    <row r="74" spans="1:8" x14ac:dyDescent="0.45">
      <c r="A74" t="s">
        <v>335</v>
      </c>
      <c r="B74">
        <v>6</v>
      </c>
      <c r="C74" t="s">
        <v>60</v>
      </c>
      <c r="D74" t="s">
        <v>192</v>
      </c>
      <c r="E74" t="s">
        <v>192</v>
      </c>
      <c r="F74" t="s">
        <v>192</v>
      </c>
      <c r="G74" t="s">
        <v>336</v>
      </c>
      <c r="H74" t="s">
        <v>194</v>
      </c>
    </row>
    <row r="75" spans="1:8" x14ac:dyDescent="0.45">
      <c r="A75" t="s">
        <v>337</v>
      </c>
      <c r="B75">
        <v>1</v>
      </c>
      <c r="C75" t="s">
        <v>61</v>
      </c>
      <c r="D75" t="s">
        <v>192</v>
      </c>
      <c r="E75" t="s">
        <v>192</v>
      </c>
      <c r="F75" t="s">
        <v>192</v>
      </c>
      <c r="G75" t="s">
        <v>319</v>
      </c>
      <c r="H75" t="s">
        <v>194</v>
      </c>
    </row>
    <row r="76" spans="1:8" x14ac:dyDescent="0.45">
      <c r="A76" t="s">
        <v>338</v>
      </c>
      <c r="B76">
        <v>1</v>
      </c>
      <c r="C76" t="s">
        <v>136</v>
      </c>
      <c r="D76" t="s">
        <v>192</v>
      </c>
      <c r="E76" t="s">
        <v>192</v>
      </c>
      <c r="F76" t="s">
        <v>192</v>
      </c>
      <c r="G76" t="s">
        <v>319</v>
      </c>
      <c r="H76" t="s">
        <v>194</v>
      </c>
    </row>
    <row r="77" spans="1:8" x14ac:dyDescent="0.45">
      <c r="A77" t="s">
        <v>339</v>
      </c>
      <c r="B77">
        <v>1</v>
      </c>
      <c r="C77" t="s">
        <v>60</v>
      </c>
      <c r="D77" t="s">
        <v>192</v>
      </c>
      <c r="E77" t="s">
        <v>192</v>
      </c>
      <c r="F77" t="s">
        <v>192</v>
      </c>
      <c r="G77" t="s">
        <v>340</v>
      </c>
      <c r="H77" t="s">
        <v>194</v>
      </c>
    </row>
    <row r="78" spans="1:8" x14ac:dyDescent="0.45">
      <c r="A78" t="s">
        <v>341</v>
      </c>
      <c r="B78">
        <v>1</v>
      </c>
      <c r="C78" t="s">
        <v>109</v>
      </c>
      <c r="D78" t="s">
        <v>192</v>
      </c>
      <c r="E78" t="s">
        <v>192</v>
      </c>
      <c r="F78" t="s">
        <v>192</v>
      </c>
      <c r="G78" t="s">
        <v>342</v>
      </c>
      <c r="H78" t="s">
        <v>343</v>
      </c>
    </row>
    <row r="79" spans="1:8" x14ac:dyDescent="0.45">
      <c r="A79" t="s">
        <v>344</v>
      </c>
      <c r="B79">
        <v>1</v>
      </c>
      <c r="C79" t="s">
        <v>345</v>
      </c>
      <c r="D79" t="s">
        <v>192</v>
      </c>
      <c r="E79" t="s">
        <v>192</v>
      </c>
      <c r="F79" t="s">
        <v>192</v>
      </c>
      <c r="G79" t="s">
        <v>346</v>
      </c>
      <c r="H79" t="s">
        <v>347</v>
      </c>
    </row>
    <row r="80" spans="1:8" x14ac:dyDescent="0.45">
      <c r="A80" t="s">
        <v>348</v>
      </c>
      <c r="B80">
        <v>1</v>
      </c>
      <c r="C80" t="s">
        <v>34</v>
      </c>
      <c r="D80" t="s">
        <v>192</v>
      </c>
      <c r="E80" t="s">
        <v>192</v>
      </c>
      <c r="F80" t="s">
        <v>192</v>
      </c>
      <c r="G80" t="s">
        <v>349</v>
      </c>
      <c r="H80" t="s">
        <v>350</v>
      </c>
    </row>
    <row r="81" spans="1:8" x14ac:dyDescent="0.45">
      <c r="A81" t="s">
        <v>351</v>
      </c>
      <c r="B81">
        <v>2</v>
      </c>
      <c r="C81" t="s">
        <v>35</v>
      </c>
      <c r="D81" t="s">
        <v>192</v>
      </c>
      <c r="E81" t="s">
        <v>192</v>
      </c>
      <c r="F81" t="s">
        <v>192</v>
      </c>
      <c r="G81" t="s">
        <v>352</v>
      </c>
      <c r="H81" t="s">
        <v>353</v>
      </c>
    </row>
    <row r="82" spans="1:8" x14ac:dyDescent="0.45">
      <c r="A82" t="s">
        <v>354</v>
      </c>
      <c r="B82">
        <v>1</v>
      </c>
      <c r="C82" t="s">
        <v>62</v>
      </c>
      <c r="D82" t="s">
        <v>192</v>
      </c>
      <c r="E82" t="s">
        <v>192</v>
      </c>
      <c r="F82" t="s">
        <v>192</v>
      </c>
      <c r="G82" t="s">
        <v>355</v>
      </c>
      <c r="H82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4CFB-8F20-4449-B1F8-CCAA99C3DD6C}">
  <dimension ref="A1:C5"/>
  <sheetViews>
    <sheetView tabSelected="1" workbookViewId="0">
      <selection activeCell="C10" sqref="C10"/>
    </sheetView>
  </sheetViews>
  <sheetFormatPr baseColWidth="10" defaultRowHeight="14.25" x14ac:dyDescent="0.45"/>
  <cols>
    <col min="2" max="2" width="17" bestFit="1" customWidth="1"/>
    <col min="3" max="3" width="156.3984375" bestFit="1" customWidth="1"/>
  </cols>
  <sheetData>
    <row r="1" spans="1:3" x14ac:dyDescent="0.45">
      <c r="A1" t="s">
        <v>358</v>
      </c>
      <c r="B1" t="s">
        <v>359</v>
      </c>
      <c r="C1" t="s">
        <v>357</v>
      </c>
    </row>
    <row r="2" spans="1:3" x14ac:dyDescent="0.45">
      <c r="A2" t="s">
        <v>358</v>
      </c>
      <c r="B2">
        <v>750319690</v>
      </c>
      <c r="C2" t="s">
        <v>360</v>
      </c>
    </row>
    <row r="3" spans="1:3" x14ac:dyDescent="0.45">
      <c r="A3" t="s">
        <v>361</v>
      </c>
      <c r="B3" t="s">
        <v>363</v>
      </c>
      <c r="C3" t="s">
        <v>362</v>
      </c>
    </row>
    <row r="4" spans="1:3" x14ac:dyDescent="0.45">
      <c r="A4" t="s">
        <v>365</v>
      </c>
      <c r="B4" t="s">
        <v>367</v>
      </c>
      <c r="C4" t="s">
        <v>366</v>
      </c>
    </row>
    <row r="5" spans="1:3" x14ac:dyDescent="0.45">
      <c r="A5" t="s">
        <v>368</v>
      </c>
      <c r="B5" t="s">
        <v>370</v>
      </c>
      <c r="C5" t="s">
        <v>369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854F62-BD04-47D6-9060-266D56B81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BOM</vt:lpstr>
      <vt:lpstr>PSFB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Suescun</dc:creator>
  <cp:lastModifiedBy>Oscar Suescun</cp:lastModifiedBy>
  <dcterms:created xsi:type="dcterms:W3CDTF">2015-06-05T18:19:34Z</dcterms:created>
  <dcterms:modified xsi:type="dcterms:W3CDTF">2026-10-29T13:51:00Z</dcterms:modified>
</cp:coreProperties>
</file>